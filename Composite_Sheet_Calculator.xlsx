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สรุปภาพรวมทั้งตู้ (Summary)" sheetId="1" state="visible" r:id="rId1"/>
    <sheet xmlns:r="http://schemas.openxmlformats.org/officeDocument/2006/relationships" name="ฝั่งนอก (Outer)" sheetId="2" state="visible" r:id="rId2"/>
    <sheet xmlns:r="http://schemas.openxmlformats.org/officeDocument/2006/relationships" name="ฝั่งใน (Inner)" sheetId="3" state="visible" r:id="rId3"/>
    <sheet xmlns:r="http://schemas.openxmlformats.org/officeDocument/2006/relationships" name="ขนาดแผ่นมาตรฐานและแนวทาง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 &quot; ชิ้น&quot;"/>
    <numFmt numFmtId="165" formatCode="#,##0.0000 &quot; m²&quot;"/>
    <numFmt numFmtId="166" formatCode="0 &quot; แผ่น&quot;"/>
    <numFmt numFmtId="167" formatCode="#,##0.00 &quot; m²&quot;"/>
    <numFmt numFmtId="168" formatCode="0.0000"/>
    <numFmt numFmtId="169" formatCode="0.0%"/>
    <numFmt numFmtId="170" formatCode="#,##0.0000"/>
  </numFmts>
  <fonts count="14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5D6D7E"/>
      <sz val="10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  <font>
      <name val="Segoe UI"/>
      <b val="1"/>
      <color rgb="001B365D"/>
      <sz val="10"/>
    </font>
    <font>
      <name val="Segoe UI"/>
      <b val="1"/>
      <color rgb="001B365D"/>
      <sz val="14"/>
    </font>
    <font>
      <name val="Segoe UI"/>
      <b val="1"/>
      <color rgb="001E8449"/>
      <sz val="18"/>
    </font>
    <font>
      <name val="Segoe UI"/>
      <b val="1"/>
      <color rgb="001B365D"/>
      <sz val="11"/>
    </font>
    <font>
      <name val="Segoe UI"/>
      <b val="1"/>
      <color rgb="002C3E50"/>
      <sz val="10"/>
    </font>
    <font>
      <name val="Segoe UI"/>
      <b val="1"/>
      <color rgb="001B365D"/>
      <sz val="9"/>
    </font>
    <font>
      <name val="Segoe UI"/>
      <b val="1"/>
      <color rgb="0078281F"/>
      <sz val="11"/>
    </font>
    <font>
      <name val="Segoe UI"/>
      <b val="1"/>
      <color rgb="001B4F72"/>
      <sz val="11"/>
    </font>
  </fonts>
  <fills count="11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1F5"/>
        <bgColor rgb="00E8F1F5"/>
      </patternFill>
    </fill>
    <fill>
      <patternFill patternType="solid">
        <fgColor rgb="00F4F6F6"/>
        <bgColor rgb="00F4F6F6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  <fill>
      <patternFill patternType="solid">
        <fgColor rgb="00FADBD8"/>
        <bgColor rgb="00FADBD8"/>
      </patternFill>
    </fill>
    <fill>
      <patternFill patternType="solid">
        <fgColor rgb="0078281F"/>
        <bgColor rgb="0078281F"/>
      </patternFill>
    </fill>
    <fill>
      <patternFill patternType="solid">
        <fgColor rgb="00D4E6F1"/>
        <bgColor rgb="00D4E6F1"/>
      </patternFill>
    </fill>
    <fill>
      <patternFill patternType="solid">
        <fgColor rgb="001B4F72"/>
        <bgColor rgb="001B4F72"/>
      </patternFill>
    </fill>
  </fills>
  <borders count="5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medium">
        <color rgb="0034495E"/>
      </top>
      <bottom style="medium">
        <color rgb="0034495E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double">
        <color rgb="0034495E"/>
      </bottom>
    </border>
    <border>
      <left style="medium">
        <color rgb="0034495E"/>
      </left>
      <right style="medium">
        <color rgb="0034495E"/>
      </right>
      <top style="medium">
        <color rgb="0034495E"/>
      </top>
      <bottom style="medium">
        <color rgb="0034495E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applyAlignment="1" pivotButton="0" quotePrefix="0" xfId="0">
      <alignment horizontal="center" vertical="center"/>
    </xf>
    <xf numFmtId="165" fontId="5" fillId="0" borderId="2" applyAlignment="1" pivotButton="0" quotePrefix="0" xfId="0">
      <alignment horizontal="right" vertical="center"/>
    </xf>
    <xf numFmtId="2" fontId="5" fillId="0" borderId="2" applyAlignment="1" pivotButton="0" quotePrefix="0" xfId="0">
      <alignment horizontal="right" vertical="center"/>
    </xf>
    <xf numFmtId="166" fontId="4" fillId="0" borderId="2" applyAlignment="1" pivotButton="0" quotePrefix="0" xfId="0">
      <alignment horizontal="center" vertical="center"/>
    </xf>
    <xf numFmtId="0" fontId="2" fillId="0" borderId="2" pivotButton="0" quotePrefix="0" xfId="0"/>
    <xf numFmtId="0" fontId="4" fillId="0" borderId="3" pivotButton="0" quotePrefix="0" xfId="0"/>
    <xf numFmtId="164" fontId="4" fillId="0" borderId="3" applyAlignment="1" pivotButton="0" quotePrefix="0" xfId="0">
      <alignment horizontal="center" vertical="center"/>
    </xf>
    <xf numFmtId="165" fontId="4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166" fontId="4" fillId="0" borderId="3" applyAlignment="1" pivotButton="0" quotePrefix="0" xfId="0">
      <alignment horizontal="center" vertical="center"/>
    </xf>
    <xf numFmtId="0" fontId="2" fillId="0" borderId="3" pivotButton="0" quotePrefix="0" xfId="0"/>
    <xf numFmtId="0" fontId="6" fillId="3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4" borderId="4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167" fontId="7" fillId="4" borderId="4" applyAlignment="1" pivotButton="0" quotePrefix="0" xfId="0">
      <alignment horizontal="center" vertical="center"/>
    </xf>
    <xf numFmtId="166" fontId="8" fillId="5" borderId="4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3" fontId="5" fillId="6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3" fontId="4" fillId="0" borderId="2" applyAlignment="1" pivotButton="0" quotePrefix="0" xfId="0">
      <alignment horizontal="right" vertical="center"/>
    </xf>
    <xf numFmtId="170" fontId="4" fillId="0" borderId="2" applyAlignment="1" pivotButton="0" quotePrefix="0" xfId="0">
      <alignment horizontal="right" vertical="center"/>
    </xf>
    <xf numFmtId="168" fontId="4" fillId="0" borderId="2" applyAlignment="1" pivotButton="0" quotePrefix="0" xfId="0">
      <alignment horizontal="right" vertical="center"/>
    </xf>
    <xf numFmtId="169" fontId="5" fillId="6" borderId="2" applyAlignment="1" pivotButton="0" quotePrefix="0" xfId="0">
      <alignment horizontal="right" vertical="center"/>
    </xf>
    <xf numFmtId="2" fontId="4" fillId="0" borderId="2" applyAlignment="1" pivotButton="0" quotePrefix="0" xfId="0">
      <alignment horizontal="right" vertical="center"/>
    </xf>
    <xf numFmtId="0" fontId="3" fillId="8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3" fontId="5" fillId="6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0" fontId="0" fillId="7" borderId="3" pivotButton="0" quotePrefix="0" xfId="0"/>
    <xf numFmtId="3" fontId="4" fillId="7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170" fontId="12" fillId="7" borderId="3" applyAlignment="1" pivotButton="0" quotePrefix="0" xfId="0">
      <alignment horizontal="right" vertical="center"/>
    </xf>
    <xf numFmtId="169" fontId="4" fillId="7" borderId="3" applyAlignment="1" pivotButton="0" quotePrefix="0" xfId="0">
      <alignment horizontal="right" vertical="center"/>
    </xf>
    <xf numFmtId="0" fontId="11" fillId="9" borderId="4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/>
    </xf>
    <xf numFmtId="0" fontId="0" fillId="9" borderId="3" pivotButton="0" quotePrefix="0" xfId="0"/>
    <xf numFmtId="3" fontId="4" fillId="9" borderId="3" applyAlignment="1" pivotButton="0" quotePrefix="0" xfId="0">
      <alignment horizontal="center" vertical="center"/>
    </xf>
    <xf numFmtId="0" fontId="2" fillId="9" borderId="3" applyAlignment="1" pivotButton="0" quotePrefix="0" xfId="0">
      <alignment horizontal="center" vertical="center"/>
    </xf>
    <xf numFmtId="170" fontId="13" fillId="9" borderId="3" applyAlignment="1" pivotButton="0" quotePrefix="0" xfId="0">
      <alignment horizontal="right" vertical="center"/>
    </xf>
    <xf numFmtId="169" fontId="4" fillId="9" borderId="3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20" customWidth="1" min="4" max="4"/>
    <col width="16" customWidth="1" min="5" max="5"/>
    <col width="20" customWidth="1" min="6" max="6"/>
    <col width="38" customWidth="1" min="7" max="7"/>
  </cols>
  <sheetData>
    <row r="1" ht="28" customHeight="1">
      <c r="A1" s="1" t="inlineStr">
        <is>
          <t>📊 สรุปภาพรวมจำนวนแผ่นคอมโพสิตทั้งตู้ (Inner &amp; Outer Combined)</t>
        </is>
      </c>
    </row>
    <row r="2" ht="20" customHeight="1">
      <c r="A2" s="2" t="inlineStr">
        <is>
          <t>โครงการ: Narit Vending Machine | เปรียบเทียบและรวมการสั่งซื้อแผ่นคอมโพสิตฝั่งใน (Inner) และฝั่งนอก (Outer)</t>
        </is>
      </c>
    </row>
    <row r="4" ht="26" customHeight="1">
      <c r="A4" s="3" t="inlineStr">
        <is>
          <t>หมวดหมู่ / โซน (Section)</t>
        </is>
      </c>
      <c r="B4" s="3" t="inlineStr">
        <is>
          <t>จำนวนชิ้นงาน (Qty)</t>
        </is>
      </c>
      <c r="C4" s="3" t="inlineStr">
        <is>
          <t>พื้นที่สุทธิ (Net Area m²)</t>
        </is>
      </c>
      <c r="D4" s="3" t="inlineStr">
        <is>
          <t>พื้นที่เผื่อเศษ (Gross Area m²)</t>
        </is>
      </c>
      <c r="E4" s="3" t="inlineStr">
        <is>
          <t>แผ่นตามทฤษฎี</t>
        </is>
      </c>
      <c r="F4" s="3" t="inlineStr">
        <is>
          <t>สั่งซื้อแยกฝั่ง (แผ่น)</t>
        </is>
      </c>
      <c r="G4" s="3" t="inlineStr">
        <is>
          <t>หมายเหตุ</t>
        </is>
      </c>
    </row>
    <row r="5" ht="22" customHeight="1">
      <c r="A5" s="4" t="inlineStr">
        <is>
          <t>1. ชิ้นส่วนฝั่งใน (Inner Parts)</t>
        </is>
      </c>
      <c r="B5" s="5">
        <f>'ฝั่งใน (Inner)'!D24</f>
        <v/>
      </c>
      <c r="C5" s="6">
        <f>'ฝั่งใน (Inner)'!G6</f>
        <v/>
      </c>
      <c r="D5" s="6">
        <f>'ฝั่งใน (Inner)'!G7</f>
        <v/>
      </c>
      <c r="E5" s="7">
        <f>'ฝั่งใน (Inner)'!G8</f>
        <v/>
      </c>
      <c r="F5" s="8">
        <f>'ฝั่งใน (Inner)'!I6</f>
        <v/>
      </c>
      <c r="G5" s="9" t="inlineStr">
        <is>
          <t>แผ่นกั้น, ซับในประตู, ฝาครอบหลังใน</t>
        </is>
      </c>
    </row>
    <row r="6" ht="22" customHeight="1">
      <c r="A6" s="4" t="inlineStr">
        <is>
          <t>2. ชิ้นส่วนฝั่งนอก (Outer Parts)</t>
        </is>
      </c>
      <c r="B6" s="5">
        <f>'ฝั่งนอก (Outer)'!D27</f>
        <v/>
      </c>
      <c r="C6" s="6">
        <f>'ฝั่งนอก (Outer)'!G6</f>
        <v/>
      </c>
      <c r="D6" s="6">
        <f>'ฝั่งนอก (Outer)'!G7</f>
        <v/>
      </c>
      <c r="E6" s="7">
        <f>'ฝั่งนอก (Outer)'!G8</f>
        <v/>
      </c>
      <c r="F6" s="8">
        <f>'ฝั่งนอก (Outer)'!I6</f>
        <v/>
      </c>
      <c r="G6" s="9" t="inlineStr">
        <is>
          <t>ฝาบน, ฝาหลัง, ฝาข้างซ้าย-ขวา, ประตูหน้า</t>
        </is>
      </c>
    </row>
    <row r="7" ht="24" customHeight="1">
      <c r="A7" s="10" t="inlineStr">
        <is>
          <t>รวมแบบสั่งซื้อแยกฝั่ง (Separate Purchasing)</t>
        </is>
      </c>
      <c r="B7" s="11">
        <f>B5+B6</f>
        <v/>
      </c>
      <c r="C7" s="12">
        <f>C5+C6</f>
        <v/>
      </c>
      <c r="D7" s="12">
        <f>D5+D6</f>
        <v/>
      </c>
      <c r="E7" s="13">
        <f>E5+E6</f>
        <v/>
      </c>
      <c r="F7" s="14">
        <f>F5+F6</f>
        <v/>
      </c>
      <c r="G7" s="15" t="inlineStr">
        <is>
          <t>ผลรวมแผ่นเมื่อปัดเศษแยกแต่ละฝั่ง</t>
        </is>
      </c>
    </row>
    <row r="10">
      <c r="A10" s="16" t="inlineStr">
        <is>
          <t>💡 แนะนำการสั่งซื้อรวมทั้งตู้
(Combined Nesting Optimization)
หากตัดร่วมกันทั้งฝั่งในและฝั่งนอก จะลดเศษเหลือตามมุมได้มากที่สุด</t>
        </is>
      </c>
      <c r="B10" s="17" t="n"/>
      <c r="C10" s="17" t="n"/>
      <c r="D10" s="18" t="inlineStr">
        <is>
          <t>พื้นที่รวมทั้งตู้ (Gross)</t>
        </is>
      </c>
      <c r="E10" s="17" t="n"/>
      <c r="F10" s="19" t="inlineStr">
        <is>
          <t>จำนวนแผ่นรวมที่ต้องใช้จริง
(ROUNDUP รวมทั้งตู้)</t>
        </is>
      </c>
      <c r="G10" s="17" t="n"/>
    </row>
    <row r="11">
      <c r="A11" s="17" t="n"/>
      <c r="B11" s="17" t="n"/>
      <c r="C11" s="17" t="n"/>
      <c r="D11" s="17" t="n"/>
      <c r="E11" s="17" t="n"/>
      <c r="F11" s="17" t="n"/>
      <c r="G11" s="17" t="n"/>
    </row>
    <row r="12">
      <c r="A12" s="17" t="n"/>
      <c r="B12" s="17" t="n"/>
      <c r="C12" s="17" t="n"/>
      <c r="D12" s="20">
        <f>D7</f>
        <v/>
      </c>
      <c r="E12" s="17" t="n"/>
      <c r="F12" s="21">
        <f>ROUNDUP(D7/'ฝั่งใน (Inner)'!C7, 0)</f>
        <v/>
      </c>
      <c r="G12" s="17" t="n"/>
    </row>
    <row r="13">
      <c r="A13" s="17" t="n"/>
      <c r="B13" s="17" t="n"/>
      <c r="C13" s="17" t="n"/>
      <c r="D13" s="17" t="n"/>
      <c r="E13" s="17" t="n"/>
      <c r="F13" s="17" t="n"/>
      <c r="G13" s="17" t="n"/>
    </row>
  </sheetData>
  <mergeCells count="7">
    <mergeCell ref="A1:G1"/>
    <mergeCell ref="F12:G13"/>
    <mergeCell ref="A10:C13"/>
    <mergeCell ref="F10:G11"/>
    <mergeCell ref="D12:E13"/>
    <mergeCell ref="A2:G2"/>
    <mergeCell ref="D10:E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28" customWidth="1" min="3" max="3"/>
    <col width="12" customWidth="1" min="4" max="4"/>
    <col width="15" customWidth="1" min="5" max="5"/>
    <col width="15" customWidth="1" min="6" max="6"/>
    <col width="16" customWidth="1" min="7" max="7"/>
    <col width="15" customWidth="1" min="8" max="8"/>
    <col width="28" customWidth="1" min="9" max="9"/>
    <col width="14" customWidth="1" min="10" max="10"/>
  </cols>
  <sheetData>
    <row r="1" ht="26" customHeight="1">
      <c r="A1" s="22" t="inlineStr">
        <is>
          <t>ตารางคำนวณแผ่นคอมโพสิต - ชิ้นส่วนฝั่งนอก (Outer Parts)</t>
        </is>
      </c>
    </row>
    <row r="2" ht="18" customHeight="1">
      <c r="A2" s="23" t="inlineStr">
        <is>
          <t>รายการชิ้นส่วนจาก SOLIDWORKS: ฝาบน, ฝาหลัง, ฝาข้าง, ประตู และฝาหน้า</t>
        </is>
      </c>
    </row>
    <row r="4">
      <c r="B4" s="24" t="inlineStr">
        <is>
          <t>⚙️ ข้อมูลแผ่นมาตรฐาน (Standard Sheet Config)</t>
        </is>
      </c>
      <c r="F4" s="24" t="inlineStr">
        <is>
          <t>📊 ผลลัพธ์การคำนวณ (Calculation Summary)</t>
        </is>
      </c>
      <c r="I4" s="25" t="inlineStr">
        <is>
          <t>จำนวนแผ่นที่แนะนำสั่งซื้อ
(Recommended to Order)</t>
        </is>
      </c>
      <c r="J4" s="17" t="n"/>
    </row>
    <row r="5">
      <c r="B5" s="26" t="inlineStr">
        <is>
          <t>ความกว้างแผ่นมาตรฐาน (Sheet Width)</t>
        </is>
      </c>
      <c r="C5" s="27" t="n">
        <v>1220</v>
      </c>
      <c r="D5" s="28" t="inlineStr">
        <is>
          <t xml:space="preserve"> มม. (mm)</t>
        </is>
      </c>
      <c r="F5" s="29" t="inlineStr">
        <is>
          <t>จำนวนชิ้นงานทั้งหมด (Total Quantity)</t>
        </is>
      </c>
      <c r="G5" s="30">
        <f>SUM(D12:D26)</f>
        <v/>
      </c>
      <c r="H5" s="28" t="inlineStr">
        <is>
          <t>ชิ้น (pcs)</t>
        </is>
      </c>
      <c r="I5" s="17" t="n"/>
      <c r="J5" s="17" t="n"/>
    </row>
    <row r="6">
      <c r="B6" s="26" t="inlineStr">
        <is>
          <t>ความยาวแผ่นมาตรฐาน (Sheet Length)</t>
        </is>
      </c>
      <c r="C6" s="27" t="n">
        <v>2440</v>
      </c>
      <c r="D6" s="28" t="inlineStr">
        <is>
          <t xml:space="preserve"> มม. (mm)</t>
        </is>
      </c>
      <c r="F6" s="29" t="inlineStr">
        <is>
          <t>พื้นที่ชิ้นงานสุทธิ (Net Total Area)</t>
        </is>
      </c>
      <c r="G6" s="31">
        <f>SUM(G12:G26)</f>
        <v/>
      </c>
      <c r="H6" s="28" t="inlineStr">
        <is>
          <t>ตร.ม. (m²)</t>
        </is>
      </c>
      <c r="I6" s="21">
        <f>ROUNDUP(G8, 0)</f>
        <v/>
      </c>
      <c r="J6" s="17" t="n"/>
    </row>
    <row r="7">
      <c r="B7" s="26" t="inlineStr">
        <is>
          <t>พื้นที่ต่อ 1 แผ่นมาตรฐาน (Area/Sheet)</t>
        </is>
      </c>
      <c r="C7" s="32">
        <f>(C5*C6)/1000000</f>
        <v/>
      </c>
      <c r="D7" s="28" t="inlineStr">
        <is>
          <t xml:space="preserve"> ตร.ม. (m²)</t>
        </is>
      </c>
      <c r="F7" s="29" t="inlineStr">
        <is>
          <t>พื้นที่รวมเผื่อเศษตัด (Gross Area with Waste)</t>
        </is>
      </c>
      <c r="G7" s="31">
        <f>G6*(1+C8)</f>
        <v/>
      </c>
      <c r="H7" s="28" t="inlineStr">
        <is>
          <t>ตร.ม. (m²)</t>
        </is>
      </c>
      <c r="I7" s="17" t="n"/>
      <c r="J7" s="17" t="n"/>
    </row>
    <row r="8">
      <c r="B8" s="26" t="inlineStr">
        <is>
          <t>เผื่อเศษตัด/พับ/โครงสร้าง (Waste Factor)</t>
        </is>
      </c>
      <c r="C8" s="33" t="n">
        <v>0.15</v>
      </c>
      <c r="D8" s="28" t="inlineStr">
        <is>
          <t xml:space="preserve"> (15%)</t>
        </is>
      </c>
      <c r="F8" s="29" t="inlineStr">
        <is>
          <t>จำนวนแผ่นตามทฤษฎี (Theoretical Sheets)</t>
        </is>
      </c>
      <c r="G8" s="34">
        <f>G7/C7</f>
        <v/>
      </c>
      <c r="H8" s="28" t="inlineStr">
        <is>
          <t>แผ่น (sheets)</t>
        </is>
      </c>
      <c r="I8" s="17" t="n"/>
      <c r="J8" s="17" t="n"/>
    </row>
    <row r="11" ht="30" customHeight="1">
      <c r="A11" s="35" t="inlineStr">
        <is>
          <t>ลำดับ
No.</t>
        </is>
      </c>
      <c r="B11" s="35" t="inlineStr">
        <is>
          <t>รหัส / ชื่อชิ้นงาน (SOLIDWORKS)
Part Name</t>
        </is>
      </c>
      <c r="C11" s="35" t="inlineStr">
        <is>
          <t>ลักษณะชิ้นงาน / ตำแหน่ง
Description</t>
        </is>
      </c>
      <c r="D11" s="35" t="inlineStr">
        <is>
          <t>จำนวน
Qty (pcs)</t>
        </is>
      </c>
      <c r="E11" s="35" t="inlineStr">
        <is>
          <t>กว้างคลี่ (W)
Width (mm)</t>
        </is>
      </c>
      <c r="F11" s="35" t="inlineStr">
        <is>
          <t>ยาวคลี่ (L)
Length (mm)</t>
        </is>
      </c>
      <c r="G11" s="35" t="inlineStr">
        <is>
          <t>พื้นที่รวม
Total Area (m²)</t>
        </is>
      </c>
      <c r="H11" s="35" t="inlineStr">
        <is>
          <t>สัดส่วนต่อแผ่น
% of Sheet</t>
        </is>
      </c>
      <c r="I11" s="35" t="inlineStr">
        <is>
          <t>หมายเหตุการตัด / พับ
Remarks &amp; Bending Note</t>
        </is>
      </c>
    </row>
    <row r="12" ht="21" customHeight="1">
      <c r="A12" s="36" t="n">
        <v>1</v>
      </c>
      <c r="B12" s="37" t="inlineStr">
        <is>
          <t>Cover top-Bending-st-2psc</t>
        </is>
      </c>
      <c r="C12" s="26" t="inlineStr">
        <is>
          <t>ฝาครอบบน (พับขึ้นรูป)</t>
        </is>
      </c>
      <c r="D12" s="38" t="n">
        <v>2</v>
      </c>
      <c r="E12" s="27" t="inlineStr"/>
      <c r="F12" s="27" t="inlineStr"/>
      <c r="G12" s="31">
        <f>IF(AND(ISNUMBER(E12),ISNUMBER(F12),E12&gt;0,F12&gt;0), D12*(E12*F12)/1000000, 0)</f>
        <v/>
      </c>
      <c r="H12" s="39">
        <f>IF($C$7&gt;0, G12/$C$7, 0)</f>
        <v/>
      </c>
      <c r="I12" s="28" t="inlineStr">
        <is>
          <t>มี 2 ชิ้น (2psc) / พับขอบ Bending</t>
        </is>
      </c>
    </row>
    <row r="13" ht="21" customHeight="1">
      <c r="A13" s="36" t="n">
        <v>2</v>
      </c>
      <c r="B13" s="37" t="inlineStr">
        <is>
          <t>Cover Back 1-Bending-st-2psc</t>
        </is>
      </c>
      <c r="C13" s="26" t="inlineStr">
        <is>
          <t>ฝาครอบหลัง 1 (พับขึ้นรูป)</t>
        </is>
      </c>
      <c r="D13" s="38" t="n">
        <v>2</v>
      </c>
      <c r="E13" s="27" t="inlineStr"/>
      <c r="F13" s="27" t="inlineStr"/>
      <c r="G13" s="31">
        <f>IF(AND(ISNUMBER(E13),ISNUMBER(F13),E13&gt;0,F13&gt;0), D13*(E13*F13)/1000000, 0)</f>
        <v/>
      </c>
      <c r="H13" s="39">
        <f>IF($C$7&gt;0, G13/$C$7, 0)</f>
        <v/>
      </c>
      <c r="I13" s="28" t="inlineStr">
        <is>
          <t>มี 2 ชิ้น (2psc) / พับขอบ Bending</t>
        </is>
      </c>
    </row>
    <row r="14" ht="21" customHeight="1">
      <c r="A14" s="36" t="n">
        <v>3</v>
      </c>
      <c r="B14" s="37" t="inlineStr">
        <is>
          <t>Door left-Bending-st</t>
        </is>
      </c>
      <c r="C14" s="26" t="inlineStr">
        <is>
          <t>ฝาประตูซ้ายนอก (พับขึ้นรูป)</t>
        </is>
      </c>
      <c r="D14" s="38" t="n">
        <v>1</v>
      </c>
      <c r="E14" s="27" t="inlineStr"/>
      <c r="F14" s="27" t="inlineStr"/>
      <c r="G14" s="31">
        <f>IF(AND(ISNUMBER(E14),ISNUMBER(F14),E14&gt;0,F14&gt;0), D14*(E14*F14)/1000000, 0)</f>
        <v/>
      </c>
      <c r="H14" s="39">
        <f>IF($C$7&gt;0, G14/$C$7, 0)</f>
        <v/>
      </c>
      <c r="I14" s="28" t="inlineStr">
        <is>
          <t>ชิ้นงานพับขอบ Bending</t>
        </is>
      </c>
    </row>
    <row r="15" ht="21" customHeight="1">
      <c r="A15" s="36" t="n">
        <v>4</v>
      </c>
      <c r="B15" s="37" t="inlineStr">
        <is>
          <t>Cover Left Side-Bending-st</t>
        </is>
      </c>
      <c r="C15" s="26" t="inlineStr">
        <is>
          <t>ฝาครอบข้างซ้าย (พับขึ้นรูป)</t>
        </is>
      </c>
      <c r="D15" s="38" t="n">
        <v>1</v>
      </c>
      <c r="E15" s="27" t="inlineStr"/>
      <c r="F15" s="27" t="inlineStr"/>
      <c r="G15" s="31">
        <f>IF(AND(ISNUMBER(E15),ISNUMBER(F15),E15&gt;0,F15&gt;0), D15*(E15*F15)/1000000, 0)</f>
        <v/>
      </c>
      <c r="H15" s="39">
        <f>IF($C$7&gt;0, G15/$C$7, 0)</f>
        <v/>
      </c>
      <c r="I15" s="28" t="inlineStr">
        <is>
          <t>ชิ้นงานพับขอบ Bending</t>
        </is>
      </c>
    </row>
    <row r="16" ht="21" customHeight="1">
      <c r="A16" s="36" t="n">
        <v>5</v>
      </c>
      <c r="B16" s="37" t="inlineStr">
        <is>
          <t>Cover Left Side 2-Bending-st</t>
        </is>
      </c>
      <c r="C16" s="26" t="inlineStr">
        <is>
          <t>ฝาครอบข้างซ้าย 2 (พับขึ้นรูป)</t>
        </is>
      </c>
      <c r="D16" s="38" t="n">
        <v>1</v>
      </c>
      <c r="E16" s="27" t="inlineStr"/>
      <c r="F16" s="27" t="inlineStr"/>
      <c r="G16" s="31">
        <f>IF(AND(ISNUMBER(E16),ISNUMBER(F16),E16&gt;0,F16&gt;0), D16*(E16*F16)/1000000, 0)</f>
        <v/>
      </c>
      <c r="H16" s="39">
        <f>IF($C$7&gt;0, G16/$C$7, 0)</f>
        <v/>
      </c>
      <c r="I16" s="28" t="inlineStr">
        <is>
          <t>ชิ้นงานพับขอบ Bending</t>
        </is>
      </c>
    </row>
    <row r="17" ht="21" customHeight="1">
      <c r="A17" s="36" t="n">
        <v>6</v>
      </c>
      <c r="B17" s="37" t="inlineStr">
        <is>
          <t>Cover Front 1-Bending-st</t>
        </is>
      </c>
      <c r="C17" s="26" t="inlineStr">
        <is>
          <t>ฝาครอบหน้า 1 (พับขึ้นรูป)</t>
        </is>
      </c>
      <c r="D17" s="38" t="n">
        <v>1</v>
      </c>
      <c r="E17" s="27" t="inlineStr"/>
      <c r="F17" s="27" t="inlineStr"/>
      <c r="G17" s="31">
        <f>IF(AND(ISNUMBER(E17),ISNUMBER(F17),E17&gt;0,F17&gt;0), D17*(E17*F17)/1000000, 0)</f>
        <v/>
      </c>
      <c r="H17" s="39">
        <f>IF($C$7&gt;0, G17/$C$7, 0)</f>
        <v/>
      </c>
      <c r="I17" s="28" t="inlineStr">
        <is>
          <t>ชิ้นงานพับขอบ Bending</t>
        </is>
      </c>
    </row>
    <row r="18" ht="21" customHeight="1">
      <c r="A18" s="36" t="n">
        <v>7</v>
      </c>
      <c r="B18" s="37" t="inlineStr">
        <is>
          <t>Arcylic Cover Front 2-st</t>
        </is>
      </c>
      <c r="C18" s="26" t="inlineStr">
        <is>
          <t>ฝาครอบหน้า 2 (อะคริลิก/คอมโพสิต)</t>
        </is>
      </c>
      <c r="D18" s="38" t="n">
        <v>1</v>
      </c>
      <c r="E18" s="27" t="inlineStr"/>
      <c r="F18" s="27" t="inlineStr"/>
      <c r="G18" s="31">
        <f>IF(AND(ISNUMBER(E18),ISNUMBER(F18),E18&gt;0,F18&gt;0), D18*(E18*F18)/1000000, 0)</f>
        <v/>
      </c>
      <c r="H18" s="39">
        <f>IF($C$7&gt;0, G18/$C$7, 0)</f>
        <v/>
      </c>
      <c r="I18" s="28" t="inlineStr">
        <is>
          <t>เช็คสเปกว่าใช้ อะคริลิก หรือ คอมโพสิต</t>
        </is>
      </c>
    </row>
    <row r="19" ht="21" customHeight="1">
      <c r="A19" s="36" t="n">
        <v>8</v>
      </c>
      <c r="B19" s="37" t="inlineStr">
        <is>
          <t>Arcylic Cover Front-st</t>
        </is>
      </c>
      <c r="C19" s="26" t="inlineStr">
        <is>
          <t>ฝาครอบหน้า (อะคริลิก/คอมโพสิต)</t>
        </is>
      </c>
      <c r="D19" s="38" t="n">
        <v>1</v>
      </c>
      <c r="E19" s="27" t="inlineStr"/>
      <c r="F19" s="27" t="inlineStr"/>
      <c r="G19" s="31">
        <f>IF(AND(ISNUMBER(E19),ISNUMBER(F19),E19&gt;0,F19&gt;0), D19*(E19*F19)/1000000, 0)</f>
        <v/>
      </c>
      <c r="H19" s="39">
        <f>IF($C$7&gt;0, G19/$C$7, 0)</f>
        <v/>
      </c>
      <c r="I19" s="28" t="inlineStr">
        <is>
          <t>เช็คสเปกว่าใช้ อะคริลิก หรือ คอมโพสิต</t>
        </is>
      </c>
    </row>
    <row r="20" ht="21" customHeight="1">
      <c r="A20" s="36" t="n">
        <v>9</v>
      </c>
      <c r="B20" s="37" t="inlineStr">
        <is>
          <t>Cover Front 2-Bending-st</t>
        </is>
      </c>
      <c r="C20" s="26" t="inlineStr">
        <is>
          <t>ฝาครอบหน้า 2 (พับขึ้นรูป)</t>
        </is>
      </c>
      <c r="D20" s="38" t="n">
        <v>1</v>
      </c>
      <c r="E20" s="27" t="inlineStr"/>
      <c r="F20" s="27" t="inlineStr"/>
      <c r="G20" s="31">
        <f>IF(AND(ISNUMBER(E20),ISNUMBER(F20),E20&gt;0,F20&gt;0), D20*(E20*F20)/1000000, 0)</f>
        <v/>
      </c>
      <c r="H20" s="39">
        <f>IF($C$7&gt;0, G20/$C$7, 0)</f>
        <v/>
      </c>
      <c r="I20" s="28" t="inlineStr">
        <is>
          <t>ชิ้นงานพับขอบ Bending</t>
        </is>
      </c>
    </row>
    <row r="21" ht="21" customHeight="1">
      <c r="A21" s="36" t="n">
        <v>10</v>
      </c>
      <c r="B21" s="37" t="inlineStr">
        <is>
          <t>Arcylic Cover Right -side-st</t>
        </is>
      </c>
      <c r="C21" s="26" t="inlineStr">
        <is>
          <t>ฝาครอบข้างขวา (อะคริลิก/คอมโพสิต)</t>
        </is>
      </c>
      <c r="D21" s="38" t="n">
        <v>1</v>
      </c>
      <c r="E21" s="27" t="inlineStr"/>
      <c r="F21" s="27" t="inlineStr"/>
      <c r="G21" s="31">
        <f>IF(AND(ISNUMBER(E21),ISNUMBER(F21),E21&gt;0,F21&gt;0), D21*(E21*F21)/1000000, 0)</f>
        <v/>
      </c>
      <c r="H21" s="39">
        <f>IF($C$7&gt;0, G21/$C$7, 0)</f>
        <v/>
      </c>
      <c r="I21" s="28" t="inlineStr">
        <is>
          <t>เช็คสเปกว่าใช้ อะคริลิก หรือ คอมโพสิต</t>
        </is>
      </c>
    </row>
    <row r="22" ht="21" customHeight="1">
      <c r="A22" s="36" t="n">
        <v>11</v>
      </c>
      <c r="B22" s="37" t="inlineStr">
        <is>
          <t>Cover Right Side 1-Bending-st</t>
        </is>
      </c>
      <c r="C22" s="26" t="inlineStr">
        <is>
          <t>ฝาครอบข้างขวา 1 (พับขึ้นรูป)</t>
        </is>
      </c>
      <c r="D22" s="38" t="n">
        <v>1</v>
      </c>
      <c r="E22" s="27" t="inlineStr"/>
      <c r="F22" s="27" t="inlineStr"/>
      <c r="G22" s="31">
        <f>IF(AND(ISNUMBER(E22),ISNUMBER(F22),E22&gt;0,F22&gt;0), D22*(E22*F22)/1000000, 0)</f>
        <v/>
      </c>
      <c r="H22" s="39">
        <f>IF($C$7&gt;0, G22/$C$7, 0)</f>
        <v/>
      </c>
      <c r="I22" s="28" t="inlineStr">
        <is>
          <t>ชิ้นงานพับขอบ Bending</t>
        </is>
      </c>
    </row>
    <row r="23" ht="21" customHeight="1">
      <c r="A23" s="36" t="n">
        <v>12</v>
      </c>
      <c r="B23" s="37" t="inlineStr">
        <is>
          <t>Cover Right Side 2-Bending-st</t>
        </is>
      </c>
      <c r="C23" s="26" t="inlineStr">
        <is>
          <t>ฝาครอบข้างขวา 2 (พับขึ้นรูป)</t>
        </is>
      </c>
      <c r="D23" s="38" t="n">
        <v>1</v>
      </c>
      <c r="E23" s="27" t="inlineStr"/>
      <c r="F23" s="27" t="inlineStr"/>
      <c r="G23" s="31">
        <f>IF(AND(ISNUMBER(E23),ISNUMBER(F23),E23&gt;0,F23&gt;0), D23*(E23*F23)/1000000, 0)</f>
        <v/>
      </c>
      <c r="H23" s="39">
        <f>IF($C$7&gt;0, G23/$C$7, 0)</f>
        <v/>
      </c>
      <c r="I23" s="28" t="inlineStr">
        <is>
          <t>ชิ้นงานพับขอบ Bending</t>
        </is>
      </c>
    </row>
    <row r="24" ht="20" customHeight="1">
      <c r="A24" s="40" t="n">
        <v>13</v>
      </c>
      <c r="B24" s="28" t="inlineStr">
        <is>
          <t>สำรองชิ้นส่วนเพิ่มเติม 1 (Extra Part)</t>
        </is>
      </c>
      <c r="C24" s="28" t="inlineStr">
        <is>
          <t>-</t>
        </is>
      </c>
      <c r="D24" s="38" t="n">
        <v>0</v>
      </c>
      <c r="E24" s="27" t="inlineStr"/>
      <c r="F24" s="27" t="inlineStr"/>
      <c r="G24" s="31">
        <f>IF(AND(ISNUMBER(E24),ISNUMBER(F24),E24&gt;0,F24&gt;0), D24*(E24*F24)/1000000, 0)</f>
        <v/>
      </c>
      <c r="H24" s="39">
        <f>IF($C$7&gt;0, G24/$C$7, 0)</f>
        <v/>
      </c>
      <c r="I24" s="28" t="inlineStr"/>
    </row>
    <row r="25" ht="20" customHeight="1">
      <c r="A25" s="40" t="n">
        <v>14</v>
      </c>
      <c r="B25" s="28" t="inlineStr">
        <is>
          <t>สำรองชิ้นส่วนเพิ่มเติม 2 (Extra Part)</t>
        </is>
      </c>
      <c r="C25" s="28" t="inlineStr">
        <is>
          <t>-</t>
        </is>
      </c>
      <c r="D25" s="38" t="n">
        <v>0</v>
      </c>
      <c r="E25" s="27" t="inlineStr"/>
      <c r="F25" s="27" t="inlineStr"/>
      <c r="G25" s="31">
        <f>IF(AND(ISNUMBER(E25),ISNUMBER(F25),E25&gt;0,F25&gt;0), D25*(E25*F25)/1000000, 0)</f>
        <v/>
      </c>
      <c r="H25" s="39">
        <f>IF($C$7&gt;0, G25/$C$7, 0)</f>
        <v/>
      </c>
      <c r="I25" s="28" t="inlineStr"/>
    </row>
    <row r="26" ht="20" customHeight="1">
      <c r="A26" s="40" t="n">
        <v>15</v>
      </c>
      <c r="B26" s="28" t="inlineStr">
        <is>
          <t>สำรองชิ้นส่วนเพิ่มเติม 3 (Extra Part)</t>
        </is>
      </c>
      <c r="C26" s="28" t="inlineStr">
        <is>
          <t>-</t>
        </is>
      </c>
      <c r="D26" s="38" t="n">
        <v>0</v>
      </c>
      <c r="E26" s="27" t="inlineStr"/>
      <c r="F26" s="27" t="inlineStr"/>
      <c r="G26" s="31">
        <f>IF(AND(ISNUMBER(E26),ISNUMBER(F26),E26&gt;0,F26&gt;0), D26*(E26*F26)/1000000, 0)</f>
        <v/>
      </c>
      <c r="H26" s="39">
        <f>IF($C$7&gt;0, G26/$C$7, 0)</f>
        <v/>
      </c>
      <c r="I26" s="28" t="inlineStr"/>
    </row>
    <row r="27" ht="24" customHeight="1">
      <c r="A27" s="41" t="inlineStr">
        <is>
          <t>รวมทั้งหมด (Sub-Total)</t>
        </is>
      </c>
      <c r="B27" s="42" t="n"/>
      <c r="C27" s="42" t="n"/>
      <c r="D27" s="43">
        <f>SUM(D12:D26)</f>
        <v/>
      </c>
      <c r="E27" s="44" t="inlineStr">
        <is>
          <t>-</t>
        </is>
      </c>
      <c r="F27" s="44" t="inlineStr">
        <is>
          <t>-</t>
        </is>
      </c>
      <c r="G27" s="45">
        <f>SUM(G12:G26)</f>
        <v/>
      </c>
      <c r="H27" s="46">
        <f>SUM(H12:H26)</f>
        <v/>
      </c>
      <c r="I27" s="42" t="inlineStr"/>
    </row>
  </sheetData>
  <mergeCells count="7">
    <mergeCell ref="A1:J1"/>
    <mergeCell ref="I4:J5"/>
    <mergeCell ref="B4:D4"/>
    <mergeCell ref="A27:C27"/>
    <mergeCell ref="F4:H4"/>
    <mergeCell ref="A2:J2"/>
    <mergeCell ref="I6:J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28" customWidth="1" min="3" max="3"/>
    <col width="12" customWidth="1" min="4" max="4"/>
    <col width="15" customWidth="1" min="5" max="5"/>
    <col width="15" customWidth="1" min="6" max="6"/>
    <col width="16" customWidth="1" min="7" max="7"/>
    <col width="15" customWidth="1" min="8" max="8"/>
    <col width="28" customWidth="1" min="9" max="9"/>
    <col width="14" customWidth="1" min="10" max="10"/>
  </cols>
  <sheetData>
    <row r="1" ht="26" customHeight="1">
      <c r="A1" s="22" t="inlineStr">
        <is>
          <t>ตารางคำนวณแผ่นคอมโพสิต - ชิ้นส่วนฝั่งใน (Inner Parts)</t>
        </is>
      </c>
    </row>
    <row r="2" ht="18" customHeight="1">
      <c r="A2" s="23" t="inlineStr">
        <is>
          <t>รายการชิ้นส่วนภายในตู้: แผ่นกั้น Partition, กล่องใน, ซับในประตู และฝาหลังใน</t>
        </is>
      </c>
    </row>
    <row r="4">
      <c r="B4" s="24" t="inlineStr">
        <is>
          <t>⚙️ ข้อมูลแผ่นมาตรฐาน (Standard Sheet Config)</t>
        </is>
      </c>
      <c r="F4" s="24" t="inlineStr">
        <is>
          <t>📊 ผลลัพธ์การคำนวณ (Calculation Summary)</t>
        </is>
      </c>
      <c r="I4" s="47" t="inlineStr">
        <is>
          <t>จำนวนแผ่นที่แนะนำสั่งซื้อ
(Recommended to Order)</t>
        </is>
      </c>
      <c r="J4" s="17" t="n"/>
    </row>
    <row r="5">
      <c r="B5" s="26" t="inlineStr">
        <is>
          <t>ความกว้างแผ่นมาตรฐาน (Sheet Width)</t>
        </is>
      </c>
      <c r="C5" s="27" t="n">
        <v>1220</v>
      </c>
      <c r="D5" s="28" t="inlineStr">
        <is>
          <t xml:space="preserve"> มม. (mm)</t>
        </is>
      </c>
      <c r="F5" s="29" t="inlineStr">
        <is>
          <t>จำนวนชิ้นงานทั้งหมด (Total Quantity)</t>
        </is>
      </c>
      <c r="G5" s="30">
        <f>SUM(D12:D23)</f>
        <v/>
      </c>
      <c r="H5" s="28" t="inlineStr">
        <is>
          <t>ชิ้น (pcs)</t>
        </is>
      </c>
      <c r="I5" s="17" t="n"/>
      <c r="J5" s="17" t="n"/>
    </row>
    <row r="6">
      <c r="B6" s="26" t="inlineStr">
        <is>
          <t>ความยาวแผ่นมาตรฐาน (Sheet Length)</t>
        </is>
      </c>
      <c r="C6" s="27" t="n">
        <v>2440</v>
      </c>
      <c r="D6" s="28" t="inlineStr">
        <is>
          <t xml:space="preserve"> มม. (mm)</t>
        </is>
      </c>
      <c r="F6" s="29" t="inlineStr">
        <is>
          <t>พื้นที่ชิ้นงานสุทธิ (Net Total Area)</t>
        </is>
      </c>
      <c r="G6" s="31">
        <f>SUM(G12:G23)</f>
        <v/>
      </c>
      <c r="H6" s="28" t="inlineStr">
        <is>
          <t>ตร.ม. (m²)</t>
        </is>
      </c>
      <c r="I6" s="21">
        <f>ROUNDUP(G8, 0)</f>
        <v/>
      </c>
      <c r="J6" s="17" t="n"/>
    </row>
    <row r="7">
      <c r="B7" s="26" t="inlineStr">
        <is>
          <t>พื้นที่ต่อ 1 แผ่นมาตรฐาน (Area/Sheet)</t>
        </is>
      </c>
      <c r="C7" s="32">
        <f>(C5*C6)/1000000</f>
        <v/>
      </c>
      <c r="D7" s="28" t="inlineStr">
        <is>
          <t xml:space="preserve"> ตร.ม. (m²)</t>
        </is>
      </c>
      <c r="F7" s="29" t="inlineStr">
        <is>
          <t>พื้นที่รวมเผื่อเศษตัด (Gross Area with Waste)</t>
        </is>
      </c>
      <c r="G7" s="31">
        <f>G6*(1+C8)</f>
        <v/>
      </c>
      <c r="H7" s="28" t="inlineStr">
        <is>
          <t>ตร.ม. (m²)</t>
        </is>
      </c>
      <c r="I7" s="17" t="n"/>
      <c r="J7" s="17" t="n"/>
    </row>
    <row r="8">
      <c r="B8" s="26" t="inlineStr">
        <is>
          <t>เผื่อเศษตัด/พับ/โครงสร้าง (Waste Factor)</t>
        </is>
      </c>
      <c r="C8" s="33" t="n">
        <v>0.15</v>
      </c>
      <c r="D8" s="28" t="inlineStr">
        <is>
          <t xml:space="preserve"> (15%)</t>
        </is>
      </c>
      <c r="F8" s="29" t="inlineStr">
        <is>
          <t>จำนวนแผ่นตามทฤษฎี (Theoretical Sheets)</t>
        </is>
      </c>
      <c r="G8" s="34">
        <f>G7/C7</f>
        <v/>
      </c>
      <c r="H8" s="28" t="inlineStr">
        <is>
          <t>แผ่น (sheets)</t>
        </is>
      </c>
      <c r="I8" s="17" t="n"/>
      <c r="J8" s="17" t="n"/>
    </row>
    <row r="11" ht="30" customHeight="1">
      <c r="A11" s="48" t="inlineStr">
        <is>
          <t>ลำดับ
No.</t>
        </is>
      </c>
      <c r="B11" s="48" t="inlineStr">
        <is>
          <t>รหัส / ชื่อชิ้นงาน (SOLIDWORKS)
Part Name</t>
        </is>
      </c>
      <c r="C11" s="48" t="inlineStr">
        <is>
          <t>ลักษณะชิ้นงาน / ตำแหน่ง
Description</t>
        </is>
      </c>
      <c r="D11" s="48" t="inlineStr">
        <is>
          <t>จำนวน
Qty (pcs)</t>
        </is>
      </c>
      <c r="E11" s="48" t="inlineStr">
        <is>
          <t>กว้างคลี่ (W)
Width (mm)</t>
        </is>
      </c>
      <c r="F11" s="48" t="inlineStr">
        <is>
          <t>ยาวคลี่ (L)
Length (mm)</t>
        </is>
      </c>
      <c r="G11" s="48" t="inlineStr">
        <is>
          <t>พื้นที่รวม
Total Area (m²)</t>
        </is>
      </c>
      <c r="H11" s="48" t="inlineStr">
        <is>
          <t>สัดส่วนต่อแผ่น
% of Sheet</t>
        </is>
      </c>
      <c r="I11" s="48" t="inlineStr">
        <is>
          <t>หมายเหตุการตัด / พับ
Remarks &amp; Bending Note</t>
        </is>
      </c>
    </row>
    <row r="12" ht="21" customHeight="1">
      <c r="A12" s="36" t="n">
        <v>1</v>
      </c>
      <c r="B12" s="37" t="inlineStr">
        <is>
          <t>Partition-Inner 3-st</t>
        </is>
      </c>
      <c r="C12" s="26" t="inlineStr">
        <is>
          <t>แผ่นกั้นภายในตู้ 3</t>
        </is>
      </c>
      <c r="D12" s="38" t="n">
        <v>1</v>
      </c>
      <c r="E12" s="27" t="inlineStr"/>
      <c r="F12" s="27" t="inlineStr"/>
      <c r="G12" s="31">
        <f>IF(AND(ISNUMBER(E12),ISNUMBER(F12),E12&gt;0,F12&gt;0), D12*(E12*F12)/1000000, 0)</f>
        <v/>
      </c>
      <c r="H12" s="39">
        <f>IF($C$7&gt;0, G12/$C$7, 0)</f>
        <v/>
      </c>
      <c r="I12" s="28" t="inlineStr">
        <is>
          <t>แผ่นกั้นตรง / มีเจาะรูยึด</t>
        </is>
      </c>
    </row>
    <row r="13" ht="21" customHeight="1">
      <c r="A13" s="36" t="n">
        <v>2</v>
      </c>
      <c r="B13" s="37" t="inlineStr">
        <is>
          <t>Partition-Inner 1-st</t>
        </is>
      </c>
      <c r="C13" s="26" t="inlineStr">
        <is>
          <t>แผ่นกั้นภายในตู้ 1</t>
        </is>
      </c>
      <c r="D13" s="38" t="n">
        <v>1</v>
      </c>
      <c r="E13" s="27" t="inlineStr"/>
      <c r="F13" s="27" t="inlineStr"/>
      <c r="G13" s="31">
        <f>IF(AND(ISNUMBER(E13),ISNUMBER(F13),E13&gt;0,F13&gt;0), D13*(E13*F13)/1000000, 0)</f>
        <v/>
      </c>
      <c r="H13" s="39">
        <f>IF($C$7&gt;0, G13/$C$7, 0)</f>
        <v/>
      </c>
      <c r="I13" s="28" t="inlineStr">
        <is>
          <t>แผ่นกั้นตรง</t>
        </is>
      </c>
    </row>
    <row r="14" ht="21" customHeight="1">
      <c r="A14" s="36" t="n">
        <v>3</v>
      </c>
      <c r="B14" s="37" t="inlineStr">
        <is>
          <t>Partition-Inner-Box-1-st</t>
        </is>
      </c>
      <c r="C14" s="26" t="inlineStr">
        <is>
          <t>กล่อง/โครงกั้นภายใน 1</t>
        </is>
      </c>
      <c r="D14" s="38" t="n">
        <v>1</v>
      </c>
      <c r="E14" s="27" t="inlineStr"/>
      <c r="F14" s="27" t="inlineStr"/>
      <c r="G14" s="31">
        <f>IF(AND(ISNUMBER(E14),ISNUMBER(F14),E14&gt;0,F14&gt;0), D14*(E14*F14)/1000000, 0)</f>
        <v/>
      </c>
      <c r="H14" s="39">
        <f>IF($C$7&gt;0, G14/$C$7, 0)</f>
        <v/>
      </c>
      <c r="I14" s="28" t="inlineStr">
        <is>
          <t>มีพับขึ้นรูปกล่อง (เช็ค Blank Size)</t>
        </is>
      </c>
    </row>
    <row r="15" ht="21" customHeight="1">
      <c r="A15" s="36" t="n">
        <v>4</v>
      </c>
      <c r="B15" s="37" t="inlineStr">
        <is>
          <t>Partition-Inner 2-st</t>
        </is>
      </c>
      <c r="C15" s="26" t="inlineStr">
        <is>
          <t>แผ่นกั้นภายในตู้ 2</t>
        </is>
      </c>
      <c r="D15" s="38" t="n">
        <v>1</v>
      </c>
      <c r="E15" s="27" t="inlineStr"/>
      <c r="F15" s="27" t="inlineStr"/>
      <c r="G15" s="31">
        <f>IF(AND(ISNUMBER(E15),ISNUMBER(F15),E15&gt;0,F15&gt;0), D15*(E15*F15)/1000000, 0)</f>
        <v/>
      </c>
      <c r="H15" s="39">
        <f>IF($C$7&gt;0, G15/$C$7, 0)</f>
        <v/>
      </c>
      <c r="I15" s="28" t="inlineStr">
        <is>
          <t>แผ่นกั้นตรง</t>
        </is>
      </c>
    </row>
    <row r="16" ht="21" customHeight="1">
      <c r="A16" s="36" t="n">
        <v>5</v>
      </c>
      <c r="B16" s="37" t="inlineStr">
        <is>
          <t>Door Right-Inner 1-Bending-st</t>
        </is>
      </c>
      <c r="C16" s="26" t="inlineStr">
        <is>
          <t>ฝาในประตูขวา พับ 1 (ซับใน)</t>
        </is>
      </c>
      <c r="D16" s="38" t="n">
        <v>1</v>
      </c>
      <c r="E16" s="27" t="inlineStr"/>
      <c r="F16" s="27" t="inlineStr"/>
      <c r="G16" s="31">
        <f>IF(AND(ISNUMBER(E16),ISNUMBER(F16),E16&gt;0,F16&gt;0), D16*(E16*F16)/1000000, 0)</f>
        <v/>
      </c>
      <c r="H16" s="39">
        <f>IF($C$7&gt;0, G16/$C$7, 0)</f>
        <v/>
      </c>
      <c r="I16" s="28" t="inlineStr">
        <is>
          <t>ชิ้นงานพับขอบ Bending</t>
        </is>
      </c>
    </row>
    <row r="17" ht="21" customHeight="1">
      <c r="A17" s="36" t="n">
        <v>6</v>
      </c>
      <c r="B17" s="37" t="inlineStr">
        <is>
          <t>Cover Back 2-Inner-Bending-st</t>
        </is>
      </c>
      <c r="C17" s="26" t="inlineStr">
        <is>
          <t>ฝาครอบหลังใน 2 พับ</t>
        </is>
      </c>
      <c r="D17" s="38" t="n">
        <v>1</v>
      </c>
      <c r="E17" s="27" t="inlineStr"/>
      <c r="F17" s="27" t="inlineStr"/>
      <c r="G17" s="31">
        <f>IF(AND(ISNUMBER(E17),ISNUMBER(F17),E17&gt;0,F17&gt;0), D17*(E17*F17)/1000000, 0)</f>
        <v/>
      </c>
      <c r="H17" s="39">
        <f>IF($C$7&gt;0, G17/$C$7, 0)</f>
        <v/>
      </c>
      <c r="I17" s="28" t="inlineStr">
        <is>
          <t>ชิ้นงานพับขอบ Bending</t>
        </is>
      </c>
    </row>
    <row r="18" ht="21" customHeight="1">
      <c r="A18" s="36" t="n">
        <v>7</v>
      </c>
      <c r="B18" s="37" t="inlineStr">
        <is>
          <t>Cover Back 1-Inner-Bending-st</t>
        </is>
      </c>
      <c r="C18" s="26" t="inlineStr">
        <is>
          <t>ฝาครอบหลังใน 1 พับ</t>
        </is>
      </c>
      <c r="D18" s="38" t="n">
        <v>1</v>
      </c>
      <c r="E18" s="27" t="inlineStr"/>
      <c r="F18" s="27" t="inlineStr"/>
      <c r="G18" s="31">
        <f>IF(AND(ISNUMBER(E18),ISNUMBER(F18),E18&gt;0,F18&gt;0), D18*(E18*F18)/1000000, 0)</f>
        <v/>
      </c>
      <c r="H18" s="39">
        <f>IF($C$7&gt;0, G18/$C$7, 0)</f>
        <v/>
      </c>
      <c r="I18" s="28" t="inlineStr">
        <is>
          <t>ชิ้นงานพับขอบ Bending</t>
        </is>
      </c>
    </row>
    <row r="19" ht="21" customHeight="1">
      <c r="A19" s="36" t="n">
        <v>8</v>
      </c>
      <c r="B19" s="37" t="inlineStr">
        <is>
          <t>Door left-inner-Bending-st</t>
        </is>
      </c>
      <c r="C19" s="26" t="inlineStr">
        <is>
          <t>ฝาในประตูซ้าย พับ (ซับใน)</t>
        </is>
      </c>
      <c r="D19" s="38" t="n">
        <v>1</v>
      </c>
      <c r="E19" s="27" t="inlineStr"/>
      <c r="F19" s="27" t="inlineStr"/>
      <c r="G19" s="31">
        <f>IF(AND(ISNUMBER(E19),ISNUMBER(F19),E19&gt;0,F19&gt;0), D19*(E19*F19)/1000000, 0)</f>
        <v/>
      </c>
      <c r="H19" s="39">
        <f>IF($C$7&gt;0, G19/$C$7, 0)</f>
        <v/>
      </c>
      <c r="I19" s="28" t="inlineStr">
        <is>
          <t>ชิ้นงานพับขอบ Bending</t>
        </is>
      </c>
    </row>
    <row r="20" ht="21" customHeight="1">
      <c r="A20" s="36" t="n">
        <v>9</v>
      </c>
      <c r="B20" s="37" t="inlineStr">
        <is>
          <t>Door left-inner-Bending</t>
        </is>
      </c>
      <c r="C20" s="26" t="inlineStr">
        <is>
          <t>ฝาในประตูซ้าย พับ</t>
        </is>
      </c>
      <c r="D20" s="38" t="n">
        <v>1</v>
      </c>
      <c r="E20" s="27" t="inlineStr"/>
      <c r="F20" s="27" t="inlineStr"/>
      <c r="G20" s="31">
        <f>IF(AND(ISNUMBER(E20),ISNUMBER(F20),E20&gt;0,F20&gt;0), D20*(E20*F20)/1000000, 0)</f>
        <v/>
      </c>
      <c r="H20" s="39">
        <f>IF($C$7&gt;0, G20/$C$7, 0)</f>
        <v/>
      </c>
      <c r="I20" s="28" t="inlineStr">
        <is>
          <t>ชิ้นงานพับขอบ Bending</t>
        </is>
      </c>
    </row>
    <row r="21" ht="20" customHeight="1">
      <c r="A21" s="40" t="n">
        <v>10</v>
      </c>
      <c r="B21" s="28" t="inlineStr">
        <is>
          <t>สำรองชิ้นส่วนเพิ่มเติม 1 (Extra Part)</t>
        </is>
      </c>
      <c r="C21" s="28" t="inlineStr">
        <is>
          <t>-</t>
        </is>
      </c>
      <c r="D21" s="38" t="n">
        <v>0</v>
      </c>
      <c r="E21" s="27" t="inlineStr"/>
      <c r="F21" s="27" t="inlineStr"/>
      <c r="G21" s="31">
        <f>IF(AND(ISNUMBER(E21),ISNUMBER(F21),E21&gt;0,F21&gt;0), D21*(E21*F21)/1000000, 0)</f>
        <v/>
      </c>
      <c r="H21" s="39">
        <f>IF($C$7&gt;0, G21/$C$7, 0)</f>
        <v/>
      </c>
      <c r="I21" s="28" t="inlineStr"/>
    </row>
    <row r="22" ht="20" customHeight="1">
      <c r="A22" s="40" t="n">
        <v>11</v>
      </c>
      <c r="B22" s="28" t="inlineStr">
        <is>
          <t>สำรองชิ้นส่วนเพิ่มเติม 2 (Extra Part)</t>
        </is>
      </c>
      <c r="C22" s="28" t="inlineStr">
        <is>
          <t>-</t>
        </is>
      </c>
      <c r="D22" s="38" t="n">
        <v>0</v>
      </c>
      <c r="E22" s="27" t="inlineStr"/>
      <c r="F22" s="27" t="inlineStr"/>
      <c r="G22" s="31">
        <f>IF(AND(ISNUMBER(E22),ISNUMBER(F22),E22&gt;0,F22&gt;0), D22*(E22*F22)/1000000, 0)</f>
        <v/>
      </c>
      <c r="H22" s="39">
        <f>IF($C$7&gt;0, G22/$C$7, 0)</f>
        <v/>
      </c>
      <c r="I22" s="28" t="inlineStr"/>
    </row>
    <row r="23" ht="20" customHeight="1">
      <c r="A23" s="40" t="n">
        <v>12</v>
      </c>
      <c r="B23" s="28" t="inlineStr">
        <is>
          <t>สำรองชิ้นส่วนเพิ่มเติม 3 (Extra Part)</t>
        </is>
      </c>
      <c r="C23" s="28" t="inlineStr">
        <is>
          <t>-</t>
        </is>
      </c>
      <c r="D23" s="38" t="n">
        <v>0</v>
      </c>
      <c r="E23" s="27" t="inlineStr"/>
      <c r="F23" s="27" t="inlineStr"/>
      <c r="G23" s="31">
        <f>IF(AND(ISNUMBER(E23),ISNUMBER(F23),E23&gt;0,F23&gt;0), D23*(E23*F23)/1000000, 0)</f>
        <v/>
      </c>
      <c r="H23" s="39">
        <f>IF($C$7&gt;0, G23/$C$7, 0)</f>
        <v/>
      </c>
      <c r="I23" s="28" t="inlineStr"/>
    </row>
    <row r="24" ht="24" customHeight="1">
      <c r="A24" s="49" t="inlineStr">
        <is>
          <t>รวมทั้งหมด (Sub-Total)</t>
        </is>
      </c>
      <c r="B24" s="50" t="n"/>
      <c r="C24" s="50" t="n"/>
      <c r="D24" s="51">
        <f>SUM(D12:D23)</f>
        <v/>
      </c>
      <c r="E24" s="52" t="inlineStr">
        <is>
          <t>-</t>
        </is>
      </c>
      <c r="F24" s="52" t="inlineStr">
        <is>
          <t>-</t>
        </is>
      </c>
      <c r="G24" s="53">
        <f>SUM(G12:G23)</f>
        <v/>
      </c>
      <c r="H24" s="54">
        <f>SUM(H12:H23)</f>
        <v/>
      </c>
      <c r="I24" s="50" t="inlineStr"/>
    </row>
  </sheetData>
  <mergeCells count="7">
    <mergeCell ref="A1:J1"/>
    <mergeCell ref="I4:J5"/>
    <mergeCell ref="B4:D4"/>
    <mergeCell ref="F4:H4"/>
    <mergeCell ref="A2:J2"/>
    <mergeCell ref="I6:J8"/>
    <mergeCell ref="A24:C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20" customWidth="1" min="4" max="4"/>
    <col width="18" customWidth="1" min="5" max="5"/>
    <col width="35" customWidth="1" min="6" max="6"/>
  </cols>
  <sheetData>
    <row r="1" ht="28" customHeight="1">
      <c r="A1" s="1" t="inlineStr">
        <is>
          <t>ข้อมูลอ้างอิงขนาดแผ่นอลูมิเนียมคอมโพสิต (Aluminum Composite Sheet Standards)</t>
        </is>
      </c>
    </row>
    <row r="3" ht="25" customHeight="1">
      <c r="A3" s="3" t="inlineStr">
        <is>
          <t>ขนาดมาตรฐาน (Standard Size)</t>
        </is>
      </c>
      <c r="B3" s="3" t="inlineStr">
        <is>
          <t>กว้าง (W) มม.</t>
        </is>
      </c>
      <c r="C3" s="3" t="inlineStr">
        <is>
          <t>ยาว (L) มม.</t>
        </is>
      </c>
      <c r="D3" s="3" t="inlineStr">
        <is>
          <t>พื้นที่ (ตร.ม./แผ่น)</t>
        </is>
      </c>
      <c r="E3" s="3" t="inlineStr">
        <is>
          <t>ความหนารวมทั่วไป</t>
        </is>
      </c>
      <c r="F3" s="3" t="inlineStr">
        <is>
          <t>การใช้งานที่นิยม</t>
        </is>
      </c>
    </row>
    <row r="4">
      <c r="A4" s="37" t="inlineStr">
        <is>
          <t>4 x 8 ฟุต (มาตรฐานสากล - นิยมที่สุด)</t>
        </is>
      </c>
      <c r="B4" s="55" t="n">
        <v>1220</v>
      </c>
      <c r="C4" s="55" t="n">
        <v>2440</v>
      </c>
      <c r="D4" s="32">
        <f>B4*C4/1000000</f>
        <v/>
      </c>
      <c r="E4" s="26" t="inlineStr">
        <is>
          <t>3 มม. / 4 มม.</t>
        </is>
      </c>
      <c r="F4" s="26" t="inlineStr">
        <is>
          <t>โครงสร้างตู้, พาร์ทิชัน, ป้าย</t>
        </is>
      </c>
    </row>
    <row r="5">
      <c r="A5" s="37" t="inlineStr">
        <is>
          <t>1.25 x 2.50 เมตร (ไซส์ยุโรป)</t>
        </is>
      </c>
      <c r="B5" s="55" t="n">
        <v>1250</v>
      </c>
      <c r="C5" s="55" t="n">
        <v>2500</v>
      </c>
      <c r="D5" s="32">
        <f>B5*C5/1000000</f>
        <v/>
      </c>
      <c r="E5" s="26" t="inlineStr">
        <is>
          <t>4 มม.</t>
        </is>
      </c>
      <c r="F5" s="26" t="inlineStr">
        <is>
          <t>งานอาคาร, ผนังตู้ขนาดใหญ่</t>
        </is>
      </c>
    </row>
    <row r="6">
      <c r="A6" s="37" t="inlineStr">
        <is>
          <t>4 x 10 ฟุต (แผ่นยาว)</t>
        </is>
      </c>
      <c r="B6" s="55" t="n">
        <v>1220</v>
      </c>
      <c r="C6" s="55" t="n">
        <v>3050</v>
      </c>
      <c r="D6" s="32">
        <f>B6*C6/1000000</f>
        <v/>
      </c>
      <c r="E6" s="26" t="inlineStr">
        <is>
          <t>4 มม.</t>
        </is>
      </c>
      <c r="F6" s="26" t="inlineStr">
        <is>
          <t>ฝาหลังตู้สูง, ชิ้นส่วนยาวต่อเนื่อง</t>
        </is>
      </c>
    </row>
    <row r="7">
      <c r="A7" s="37" t="inlineStr">
        <is>
          <t>5 x 10 ฟุต (แผ่นหน้ากว้าง)</t>
        </is>
      </c>
      <c r="B7" s="55" t="n">
        <v>1500</v>
      </c>
      <c r="C7" s="55" t="n">
        <v>3000</v>
      </c>
      <c r="D7" s="32">
        <f>B7*C7/1000000</f>
        <v/>
      </c>
      <c r="E7" s="26" t="inlineStr">
        <is>
          <t>4 มม.</t>
        </is>
      </c>
      <c r="F7" s="26" t="inlineStr">
        <is>
          <t>ชิ้นงานขนาดใหญ่ลดรอยต่อ</t>
        </is>
      </c>
    </row>
    <row r="10">
      <c r="A10" s="56" t="inlineStr">
        <is>
          <t>📐 เทคนิคการคำนวณขนาดคลี่สำหรับงานพับแผ่นคอมโพสิต (V-Groove Bending Allowance)</t>
        </is>
      </c>
    </row>
    <row r="11">
      <c r="A11" s="57" t="inlineStr">
        <is>
          <t>1. การพับแผ่นอลูมิเนียมคอมโพสิต นิยมใช้ใบเซาะร่อง V-Groove 90° หรือ 135° ด้านหลัง โดยเหลือชั้นแกนพลาสติกและอลูมิเนียมผิวหน้าไว้ประมาณ 0.5 - 0.8 มม.</t>
        </is>
      </c>
    </row>
    <row r="12">
      <c r="A12" s="57" t="inlineStr">
        <is>
          <t>2. ระยะปีกพับ (Bending Flange): ควรมีความกว้างอย่างน้อย 20 - 30 มม. เพื่อให้จับยึดรีเวทหรือสกรูได้แข็งแรง</t>
        </is>
      </c>
    </row>
    <row r="13">
      <c r="A13" s="57" t="inlineStr">
        <is>
          <t>3. การหาขนาด Blank Size (กว้าง x ยาว ก่อนพับ):</t>
        </is>
      </c>
    </row>
    <row r="14">
      <c r="A14" s="57" t="inlineStr">
        <is>
          <t xml:space="preserve">   - หากพับขึ้นขอบ 2 ข้าง ซ้าย-ขวา ข้างละ F มม. และแผ่นตรงกลางกว้าง W มม. -&gt; กว้างคลี่ = W + (2 x F) - K-factor (ปกติเผื่อลดลงประมาณ 1-2 มม. ต่อมุมพับ)</t>
        </is>
      </c>
    </row>
    <row r="15">
      <c r="A15" s="57" t="inlineStr">
        <is>
          <t xml:space="preserve">   - เพื่อความปลอดภัยในการสั่งแผ่น สามารถใช้ขนาด กว้างรวมปีก (W + 2F) ได้เลยโดยถือเป็นระยะเผื่อตัดแต่งขอบ</t>
        </is>
      </c>
    </row>
    <row r="16">
      <c r="A16" s="57" t="inlineStr">
        <is>
          <t>4. ชิ้นงานที่มีชื่อ Arcylic (อะคริลิก): เช่น Arcylic Cover Front, Arcylic Cover Right ให้ตรวจสอบว่าใช้แผ่นอะคริลิกใส หรือแผ่นคอมโพสิตทึบในการตัด</t>
        </is>
      </c>
    </row>
  </sheetData>
  <mergeCells count="8">
    <mergeCell ref="A16:F16"/>
    <mergeCell ref="A11:F11"/>
    <mergeCell ref="A10:F10"/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2026-09-28T07:48:30Z</dcterms:created>
  <dcterms:modified xmlns:dcterms="http://purl.org/dc/terms/" xmlns:xsi="http://www.w3.org/2001/XMLSchema-instance" xsi:type="dcterms:W3CDTF">2026-09-28T07:48:30Z</dcterms:modified>
</cp:coreProperties>
</file>