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ำนวณแผ่นคอมโพสิต" sheetId="1" state="visible" r:id="rId1"/>
    <sheet xmlns:r="http://schemas.openxmlformats.org/officeDocument/2006/relationships" name="ขนาดแผ่นมาตรฐานและแนวทาง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%"/>
    <numFmt numFmtId="166" formatCode="#,##0.0000"/>
    <numFmt numFmtId="167" formatCode="0 &quot; แผ่น&quot;"/>
  </numFmts>
  <fonts count="11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i val="1"/>
      <color rgb="005D6D7E"/>
      <sz val="10"/>
    </font>
    <font>
      <name val="Segoe UI"/>
      <b val="1"/>
      <color rgb="001B365D"/>
      <sz val="12"/>
    </font>
    <font>
      <name val="Segoe UI"/>
      <sz val="10"/>
    </font>
    <font>
      <name val="Segoe UI"/>
      <b val="1"/>
      <sz val="10"/>
    </font>
    <font>
      <name val="Segoe UI"/>
      <b val="1"/>
      <color rgb="002C3E50"/>
      <sz val="10"/>
    </font>
    <font>
      <name val="Segoe UI"/>
      <b val="1"/>
      <color rgb="001B365D"/>
      <sz val="10"/>
    </font>
    <font>
      <name val="Segoe UI"/>
      <b val="1"/>
      <color rgb="001E8449"/>
      <sz val="20"/>
    </font>
    <font>
      <name val="Segoe UI"/>
      <b val="1"/>
      <color rgb="00FFFFFF"/>
      <sz val="11"/>
    </font>
    <font>
      <name val="Segoe UI"/>
      <b val="1"/>
      <color rgb="001B365D"/>
      <sz val="11"/>
    </font>
  </fonts>
  <fills count="6">
    <fill>
      <patternFill/>
    </fill>
    <fill>
      <patternFill patternType="gray125"/>
    </fill>
    <fill>
      <patternFill patternType="solid">
        <fgColor rgb="00FEF9E7"/>
        <bgColor rgb="00FEF9E7"/>
      </patternFill>
    </fill>
    <fill>
      <patternFill patternType="solid">
        <fgColor rgb="00E8F1F5"/>
        <bgColor rgb="00E8F1F5"/>
      </patternFill>
    </fill>
    <fill>
      <patternFill patternType="solid">
        <fgColor rgb="00E8F8F5"/>
        <bgColor rgb="00E8F8F5"/>
      </patternFill>
    </fill>
    <fill>
      <patternFill patternType="solid">
        <fgColor rgb="002E5B88"/>
        <bgColor rgb="002E5B88"/>
      </patternFill>
    </fill>
  </fills>
  <borders count="5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 style="medium">
        <color rgb="0034495E"/>
      </left>
      <right style="medium">
        <color rgb="0034495E"/>
      </right>
      <top style="medium">
        <color rgb="0034495E"/>
      </top>
      <bottom style="medium">
        <color rgb="0034495E"/>
      </bottom>
    </border>
    <border>
      <left style="thin">
        <color rgb="00BDC3C7"/>
      </left>
      <right style="thin">
        <color rgb="00BDC3C7"/>
      </right>
      <top style="medium">
        <color rgb="0034495E"/>
      </top>
      <bottom style="medium">
        <color rgb="0034495E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double">
        <color rgb="0034495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8" fillId="4" borderId="2" applyAlignment="1" pivotButton="0" quotePrefix="0" xfId="0">
      <alignment horizontal="center" vertical="center"/>
    </xf>
    <xf numFmtId="164" fontId="5" fillId="0" borderId="1" applyAlignment="1" pivotButton="0" quotePrefix="0" xfId="0">
      <alignment horizontal="right" vertical="center"/>
    </xf>
    <xf numFmtId="165" fontId="4" fillId="2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9" fillId="5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0" fillId="3" borderId="4" pivotButton="0" quotePrefix="0" xfId="0"/>
    <xf numFmtId="3" fontId="5" fillId="3" borderId="4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10" fillId="3" borderId="4" applyAlignment="1" pivotButton="0" quotePrefix="0" xfId="0">
      <alignment horizontal="right" vertical="center"/>
    </xf>
    <xf numFmtId="165" fontId="5" fillId="3" borderId="4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1" fillId="0" borderId="0" pivotButton="0" quotePrefix="0" xfId="0"/>
    <xf numFmtId="3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32" customWidth="1" min="3" max="3"/>
    <col width="14" customWidth="1" min="4" max="4"/>
    <col width="16" customWidth="1" min="5" max="5"/>
    <col width="16" customWidth="1" min="6" max="6"/>
    <col width="18" customWidth="1" min="7" max="7"/>
    <col width="16" customWidth="1" min="8" max="8"/>
    <col width="30" customWidth="1" min="9" max="9"/>
    <col width="14" customWidth="1" min="10" max="10"/>
  </cols>
  <sheetData>
    <row r="1" ht="28" customHeight="1">
      <c r="A1" s="1" t="inlineStr">
        <is>
          <t>ตารางคำนวณจำนวนแผ่นอลูมิเนียมคอมโพสิต (Composite Sheet Requirement Calculator)</t>
        </is>
      </c>
    </row>
    <row r="2" ht="18" customHeight="1">
      <c r="A2" s="2" t="inlineStr">
        <is>
          <t>โครงการ: Narit Vending Machine | กำหนดขนาดคลี่ (Blank Size) เพื่อคำนวณพื้นที่และจำนวนแผ่นมาตรฐาน</t>
        </is>
      </c>
    </row>
    <row r="4">
      <c r="B4" s="3" t="inlineStr">
        <is>
          <t>⚙️ ข้อมูลแผ่นมาตรฐาน (Standard Sheet Config)</t>
        </is>
      </c>
      <c r="F4" s="3" t="inlineStr">
        <is>
          <t>📊 ผลลัพธ์การคำนวณ (Calculation Summary)</t>
        </is>
      </c>
      <c r="I4" s="4" t="inlineStr">
        <is>
          <t>จำนวนแผ่นที่แนะนำสั่งซื้อ
(Recommended to Order)</t>
        </is>
      </c>
      <c r="J4" s="5" t="n"/>
    </row>
    <row r="5">
      <c r="B5" s="6" t="inlineStr">
        <is>
          <t>ความกว้างแผ่นมาตรฐาน (Sheet Width)</t>
        </is>
      </c>
      <c r="C5" s="7" t="n">
        <v>1220</v>
      </c>
      <c r="D5" s="8" t="inlineStr">
        <is>
          <t xml:space="preserve"> มม. (mm)</t>
        </is>
      </c>
      <c r="F5" s="9" t="inlineStr">
        <is>
          <t>จำนวนชิ้นงานทั้งหมด (Total Quantity)</t>
        </is>
      </c>
      <c r="G5" s="10">
        <f>SUM(D12:D23)</f>
        <v/>
      </c>
      <c r="H5" s="8" t="inlineStr">
        <is>
          <t>ชิ้น (pcs)</t>
        </is>
      </c>
      <c r="I5" s="5" t="n"/>
      <c r="J5" s="5" t="n"/>
    </row>
    <row r="6">
      <c r="B6" s="6" t="inlineStr">
        <is>
          <t>ความยาวแผ่นมาตรฐาน (Sheet Length)</t>
        </is>
      </c>
      <c r="C6" s="7" t="n">
        <v>2440</v>
      </c>
      <c r="D6" s="8" t="inlineStr">
        <is>
          <t xml:space="preserve"> มม. (mm)</t>
        </is>
      </c>
      <c r="F6" s="9" t="inlineStr">
        <is>
          <t>พื้นที่ชิ้นงานสุทธิ (Net Total Area)</t>
        </is>
      </c>
      <c r="G6" s="11">
        <f>SUM(G12:G23)</f>
        <v/>
      </c>
      <c r="H6" s="8" t="inlineStr">
        <is>
          <t>ตร.ม. (m²)</t>
        </is>
      </c>
      <c r="I6" s="12">
        <f>ROUNDUP(G8, 0)</f>
        <v/>
      </c>
      <c r="J6" s="5" t="n"/>
    </row>
    <row r="7">
      <c r="B7" s="6" t="inlineStr">
        <is>
          <t>พื้นที่ต่อ 1 แผ่นมาตรฐาน (Area/Sheet)</t>
        </is>
      </c>
      <c r="C7" s="13">
        <f>(C5*C6)/1000000</f>
        <v/>
      </c>
      <c r="D7" s="8" t="inlineStr">
        <is>
          <t xml:space="preserve"> ตร.ม. (m²)</t>
        </is>
      </c>
      <c r="F7" s="9" t="inlineStr">
        <is>
          <t>พื้นที่รวมเผื่อเศษตัด (Gross Area with Waste)</t>
        </is>
      </c>
      <c r="G7" s="11">
        <f>G6*(1+C8)</f>
        <v/>
      </c>
      <c r="H7" s="8" t="inlineStr">
        <is>
          <t>ตร.ม. (m²)</t>
        </is>
      </c>
      <c r="I7" s="5" t="n"/>
      <c r="J7" s="5" t="n"/>
    </row>
    <row r="8">
      <c r="B8" s="6" t="inlineStr">
        <is>
          <t>เผื่อเศษตัด/พับ/โครงสร้าง (Waste Factor)</t>
        </is>
      </c>
      <c r="C8" s="14" t="n">
        <v>0.15</v>
      </c>
      <c r="D8" s="8" t="inlineStr">
        <is>
          <t xml:space="preserve"> (15%)</t>
        </is>
      </c>
      <c r="F8" s="9" t="inlineStr">
        <is>
          <t>จำนวนแผ่นตามทฤษฎี (Theoretical Sheets)</t>
        </is>
      </c>
      <c r="G8" s="15">
        <f>G7/C7</f>
        <v/>
      </c>
      <c r="H8" s="8" t="inlineStr">
        <is>
          <t>แผ่น (sheets)</t>
        </is>
      </c>
      <c r="I8" s="5" t="n"/>
      <c r="J8" s="5" t="n"/>
    </row>
    <row r="11" ht="32" customHeight="1">
      <c r="A11" s="16" t="inlineStr">
        <is>
          <t>ลำดับ
No.</t>
        </is>
      </c>
      <c r="B11" s="16" t="inlineStr">
        <is>
          <t>รหัส / ชื่อชิ้นงาน
Part Name</t>
        </is>
      </c>
      <c r="C11" s="16" t="inlineStr">
        <is>
          <t>ลักษณะชิ้นงาน / ตำแหน่ง
Description</t>
        </is>
      </c>
      <c r="D11" s="16" t="inlineStr">
        <is>
          <t>จำนวน
Qty (pcs)</t>
        </is>
      </c>
      <c r="E11" s="16" t="inlineStr">
        <is>
          <t>กว้างคลี่ (W)
Width (mm)</t>
        </is>
      </c>
      <c r="F11" s="16" t="inlineStr">
        <is>
          <t>ยาวคลี่ (L)
Length (mm)</t>
        </is>
      </c>
      <c r="G11" s="16" t="inlineStr">
        <is>
          <t>พื้นที่รวม
Total Area (m²)</t>
        </is>
      </c>
      <c r="H11" s="16" t="inlineStr">
        <is>
          <t>สัดส่วนต่อแผ่น
% of 1 Sheet</t>
        </is>
      </c>
      <c r="I11" s="16" t="inlineStr">
        <is>
          <t>หมายเหตุการตัด / พับ
Remarks &amp; Bending Note</t>
        </is>
      </c>
    </row>
    <row r="12" ht="22" customHeight="1">
      <c r="A12" s="17" t="n">
        <v>1</v>
      </c>
      <c r="B12" s="18" t="inlineStr">
        <is>
          <t>Partition-Inner 3-st</t>
        </is>
      </c>
      <c r="C12" s="6" t="inlineStr">
        <is>
          <t>แผ่นกั้นภายในตู้ 3 (สเตนเลส/โครงสร้าง)</t>
        </is>
      </c>
      <c r="D12" s="19" t="n">
        <v>1</v>
      </c>
      <c r="E12" s="7" t="inlineStr"/>
      <c r="F12" s="7" t="inlineStr"/>
      <c r="G12" s="11">
        <f>IF(AND(ISNUMBER(E12),ISNUMBER(F12),E12&gt;0,F12&gt;0), D12*(E12*F12)/1000000, 0)</f>
        <v/>
      </c>
      <c r="H12" s="20">
        <f>IF($C$7&gt;0, G12/$C$7, 0)</f>
        <v/>
      </c>
      <c r="I12" s="8" t="inlineStr">
        <is>
          <t>แผ่นกั้นตรง / มีเจาะรูยึด</t>
        </is>
      </c>
    </row>
    <row r="13" ht="22" customHeight="1">
      <c r="A13" s="17" t="n">
        <v>2</v>
      </c>
      <c r="B13" s="18" t="inlineStr">
        <is>
          <t>Partition-Inner 1-st</t>
        </is>
      </c>
      <c r="C13" s="6" t="inlineStr">
        <is>
          <t>แผ่นกั้นภายในตู้ 1</t>
        </is>
      </c>
      <c r="D13" s="19" t="n">
        <v>1</v>
      </c>
      <c r="E13" s="7" t="inlineStr"/>
      <c r="F13" s="7" t="inlineStr"/>
      <c r="G13" s="11">
        <f>IF(AND(ISNUMBER(E13),ISNUMBER(F13),E13&gt;0,F13&gt;0), D13*(E13*F13)/1000000, 0)</f>
        <v/>
      </c>
      <c r="H13" s="20">
        <f>IF($C$7&gt;0, G13/$C$7, 0)</f>
        <v/>
      </c>
      <c r="I13" s="8" t="inlineStr">
        <is>
          <t>แผ่นกั้นตรง</t>
        </is>
      </c>
    </row>
    <row r="14" ht="22" customHeight="1">
      <c r="A14" s="17" t="n">
        <v>3</v>
      </c>
      <c r="B14" s="18" t="inlineStr">
        <is>
          <t>Partition-Inner-Box-1-st</t>
        </is>
      </c>
      <c r="C14" s="6" t="inlineStr">
        <is>
          <t>กล่อง/โครงกั้นภายใน 1</t>
        </is>
      </c>
      <c r="D14" s="19" t="n">
        <v>1</v>
      </c>
      <c r="E14" s="7" t="inlineStr"/>
      <c r="F14" s="7" t="inlineStr"/>
      <c r="G14" s="11">
        <f>IF(AND(ISNUMBER(E14),ISNUMBER(F14),E14&gt;0,F14&gt;0), D14*(E14*F14)/1000000, 0)</f>
        <v/>
      </c>
      <c r="H14" s="20">
        <f>IF($C$7&gt;0, G14/$C$7, 0)</f>
        <v/>
      </c>
      <c r="I14" s="8" t="inlineStr">
        <is>
          <t>มีพับขึ้นรูปกล่อง (เช็ค Blank Size)</t>
        </is>
      </c>
    </row>
    <row r="15" ht="22" customHeight="1">
      <c r="A15" s="17" t="n">
        <v>4</v>
      </c>
      <c r="B15" s="18" t="inlineStr">
        <is>
          <t>Partition-Inner 2-st</t>
        </is>
      </c>
      <c r="C15" s="6" t="inlineStr">
        <is>
          <t>แผ่นกั้นภายในตู้ 2</t>
        </is>
      </c>
      <c r="D15" s="19" t="n">
        <v>1</v>
      </c>
      <c r="E15" s="7" t="inlineStr"/>
      <c r="F15" s="7" t="inlineStr"/>
      <c r="G15" s="11">
        <f>IF(AND(ISNUMBER(E15),ISNUMBER(F15),E15&gt;0,F15&gt;0), D15*(E15*F15)/1000000, 0)</f>
        <v/>
      </c>
      <c r="H15" s="20">
        <f>IF($C$7&gt;0, G15/$C$7, 0)</f>
        <v/>
      </c>
      <c r="I15" s="8" t="inlineStr">
        <is>
          <t>แผ่นกั้นตรง</t>
        </is>
      </c>
    </row>
    <row r="16" ht="22" customHeight="1">
      <c r="A16" s="17" t="n">
        <v>5</v>
      </c>
      <c r="B16" s="18" t="inlineStr">
        <is>
          <t>Door Right-Inner 1-Bending-st</t>
        </is>
      </c>
      <c r="C16" s="6" t="inlineStr">
        <is>
          <t>ฝาในประตูขวา พับ 1 (สเตนเลส/ซับใน)</t>
        </is>
      </c>
      <c r="D16" s="19" t="n">
        <v>1</v>
      </c>
      <c r="E16" s="7" t="inlineStr"/>
      <c r="F16" s="7" t="inlineStr"/>
      <c r="G16" s="11">
        <f>IF(AND(ISNUMBER(E16),ISNUMBER(F16),E16&gt;0,F16&gt;0), D16*(E16*F16)/1000000, 0)</f>
        <v/>
      </c>
      <c r="H16" s="20">
        <f>IF($C$7&gt;0, G16/$C$7, 0)</f>
        <v/>
      </c>
      <c r="I16" s="8" t="inlineStr">
        <is>
          <t>ชิ้นงานพับขอบ Bending</t>
        </is>
      </c>
    </row>
    <row r="17" ht="22" customHeight="1">
      <c r="A17" s="17" t="n">
        <v>6</v>
      </c>
      <c r="B17" s="18" t="inlineStr">
        <is>
          <t>Cover Back 2-Inner-Bending-st</t>
        </is>
      </c>
      <c r="C17" s="6" t="inlineStr">
        <is>
          <t>ฝาครอบหลังใน 2 พับ</t>
        </is>
      </c>
      <c r="D17" s="19" t="n">
        <v>1</v>
      </c>
      <c r="E17" s="7" t="inlineStr"/>
      <c r="F17" s="7" t="inlineStr"/>
      <c r="G17" s="11">
        <f>IF(AND(ISNUMBER(E17),ISNUMBER(F17),E17&gt;0,F17&gt;0), D17*(E17*F17)/1000000, 0)</f>
        <v/>
      </c>
      <c r="H17" s="20">
        <f>IF($C$7&gt;0, G17/$C$7, 0)</f>
        <v/>
      </c>
      <c r="I17" s="8" t="inlineStr">
        <is>
          <t>ชิ้นงานพับขอบ Bending</t>
        </is>
      </c>
    </row>
    <row r="18" ht="22" customHeight="1">
      <c r="A18" s="17" t="n">
        <v>7</v>
      </c>
      <c r="B18" s="18" t="inlineStr">
        <is>
          <t>Cover Back 1-Inner-Bending-st</t>
        </is>
      </c>
      <c r="C18" s="6" t="inlineStr">
        <is>
          <t>ฝาครอบหลังใน 1 พับ</t>
        </is>
      </c>
      <c r="D18" s="19" t="n">
        <v>1</v>
      </c>
      <c r="E18" s="7" t="inlineStr"/>
      <c r="F18" s="7" t="inlineStr"/>
      <c r="G18" s="11">
        <f>IF(AND(ISNUMBER(E18),ISNUMBER(F18),E18&gt;0,F18&gt;0), D18*(E18*F18)/1000000, 0)</f>
        <v/>
      </c>
      <c r="H18" s="20">
        <f>IF($C$7&gt;0, G18/$C$7, 0)</f>
        <v/>
      </c>
      <c r="I18" s="8" t="inlineStr">
        <is>
          <t>ชิ้นงานพับขอบ Bending</t>
        </is>
      </c>
    </row>
    <row r="19" ht="22" customHeight="1">
      <c r="A19" s="17" t="n">
        <v>8</v>
      </c>
      <c r="B19" s="18" t="inlineStr">
        <is>
          <t>Door left-inner-Bending-st</t>
        </is>
      </c>
      <c r="C19" s="6" t="inlineStr">
        <is>
          <t>ฝาในประตูซ้าย พับ (สเตนเลส/ซับใน)</t>
        </is>
      </c>
      <c r="D19" s="19" t="n">
        <v>1</v>
      </c>
      <c r="E19" s="7" t="inlineStr"/>
      <c r="F19" s="7" t="inlineStr"/>
      <c r="G19" s="11">
        <f>IF(AND(ISNUMBER(E19),ISNUMBER(F19),E19&gt;0,F19&gt;0), D19*(E19*F19)/1000000, 0)</f>
        <v/>
      </c>
      <c r="H19" s="20">
        <f>IF($C$7&gt;0, G19/$C$7, 0)</f>
        <v/>
      </c>
      <c r="I19" s="8" t="inlineStr">
        <is>
          <t>ชิ้นงานพับขอบ Bending</t>
        </is>
      </c>
    </row>
    <row r="20" ht="22" customHeight="1">
      <c r="A20" s="17" t="n">
        <v>9</v>
      </c>
      <c r="B20" s="18" t="inlineStr">
        <is>
          <t>Door left-inner-Bending</t>
        </is>
      </c>
      <c r="C20" s="6" t="inlineStr">
        <is>
          <t>ฝาในประตูซ้าย พับ</t>
        </is>
      </c>
      <c r="D20" s="19" t="n">
        <v>1</v>
      </c>
      <c r="E20" s="7" t="inlineStr"/>
      <c r="F20" s="7" t="inlineStr"/>
      <c r="G20" s="11">
        <f>IF(AND(ISNUMBER(E20),ISNUMBER(F20),E20&gt;0,F20&gt;0), D20*(E20*F20)/1000000, 0)</f>
        <v/>
      </c>
      <c r="H20" s="20">
        <f>IF($C$7&gt;0, G20/$C$7, 0)</f>
        <v/>
      </c>
      <c r="I20" s="8" t="inlineStr">
        <is>
          <t>ชิ้นงานพับขอบ Bending</t>
        </is>
      </c>
    </row>
    <row r="21" ht="20" customHeight="1">
      <c r="A21" s="21" t="n">
        <v>10</v>
      </c>
      <c r="B21" s="8" t="inlineStr"/>
      <c r="C21" s="8" t="inlineStr">
        <is>
          <t>สำรองชิ้นส่วนเพิ่มเติม (Extra Part 1)</t>
        </is>
      </c>
      <c r="D21" s="19" t="n">
        <v>0</v>
      </c>
      <c r="E21" s="7" t="inlineStr"/>
      <c r="F21" s="7" t="inlineStr"/>
      <c r="G21" s="11">
        <f>IF(AND(ISNUMBER(E21),ISNUMBER(F21),E21&gt;0,F21&gt;0), D21*(E21*F21)/1000000, 0)</f>
        <v/>
      </c>
      <c r="H21" s="20">
        <f>IF($C$7&gt;0, G21/$C$7, 0)</f>
        <v/>
      </c>
      <c r="I21" s="8" t="inlineStr"/>
    </row>
    <row r="22" ht="20" customHeight="1">
      <c r="A22" s="21" t="n">
        <v>11</v>
      </c>
      <c r="B22" s="8" t="inlineStr"/>
      <c r="C22" s="8" t="inlineStr">
        <is>
          <t>สำรองชิ้นส่วนเพิ่มเติม (Extra Part 2)</t>
        </is>
      </c>
      <c r="D22" s="19" t="n">
        <v>0</v>
      </c>
      <c r="E22" s="7" t="inlineStr"/>
      <c r="F22" s="7" t="inlineStr"/>
      <c r="G22" s="11">
        <f>IF(AND(ISNUMBER(E22),ISNUMBER(F22),E22&gt;0,F22&gt;0), D22*(E22*F22)/1000000, 0)</f>
        <v/>
      </c>
      <c r="H22" s="20">
        <f>IF($C$7&gt;0, G22/$C$7, 0)</f>
        <v/>
      </c>
      <c r="I22" s="8" t="inlineStr"/>
    </row>
    <row r="23" ht="20" customHeight="1">
      <c r="A23" s="21" t="n">
        <v>12</v>
      </c>
      <c r="B23" s="8" t="inlineStr"/>
      <c r="C23" s="8" t="inlineStr">
        <is>
          <t>สำรองชิ้นส่วนเพิ่มเติม (Extra Part 3)</t>
        </is>
      </c>
      <c r="D23" s="19" t="n">
        <v>0</v>
      </c>
      <c r="E23" s="7" t="inlineStr"/>
      <c r="F23" s="7" t="inlineStr"/>
      <c r="G23" s="11">
        <f>IF(AND(ISNUMBER(E23),ISNUMBER(F23),E23&gt;0,F23&gt;0), D23*(E23*F23)/1000000, 0)</f>
        <v/>
      </c>
      <c r="H23" s="20">
        <f>IF($C$7&gt;0, G23/$C$7, 0)</f>
        <v/>
      </c>
      <c r="I23" s="8" t="inlineStr"/>
    </row>
    <row r="24" ht="24" customHeight="1">
      <c r="A24" s="22" t="inlineStr">
        <is>
          <t>รวมทั้งหมด (Grand Total)</t>
        </is>
      </c>
      <c r="B24" s="23" t="n"/>
      <c r="C24" s="23" t="n"/>
      <c r="D24" s="24">
        <f>SUM(D12:D23)</f>
        <v/>
      </c>
      <c r="E24" s="25" t="inlineStr">
        <is>
          <t>-</t>
        </is>
      </c>
      <c r="F24" s="25" t="inlineStr">
        <is>
          <t>-</t>
        </is>
      </c>
      <c r="G24" s="26">
        <f>SUM(G12:G23)</f>
        <v/>
      </c>
      <c r="H24" s="27">
        <f>SUM(H12:H23)</f>
        <v/>
      </c>
      <c r="I24" s="23" t="inlineStr"/>
    </row>
    <row r="26">
      <c r="A26" s="28" t="inlineStr">
        <is>
          <t>💡 คำแนะนำในการใช้งานและคำนวณขนาด (Instructions &amp; Technical Notes)</t>
        </is>
      </c>
    </row>
    <row r="27">
      <c r="A27" s="29" t="inlineStr">
        <is>
          <t>1. เซลล์สีเหลืองอ่อน (คอลัมน์ D, E, F) คือช่องที่ท่านต้องกรอกข้อมูล: จำนวน (Qty), กว้างคลี่ (Width mm), ยาวคลี่ (Length mm)</t>
        </is>
      </c>
    </row>
    <row r="28">
      <c r="A28" s="29" t="inlineStr">
        <is>
          <t>2. สำหรับชิ้นงานพับ (Bending): ให้ใช้ขนาด 'แผ่นคลี่' (Flat Pattern Blank Size) ซึ่งรวมระยะปีกพับและเผื่อการเซาะร่องพับ (V-Groove)</t>
        </is>
      </c>
    </row>
    <row r="29">
      <c r="A29" s="29" t="inlineStr">
        <is>
          <t>3. ขนาดแผ่นมาตรฐานเริ่มต้นตั้งไว้ที่ 1,220 x 2,440 มม. (4 x 8 ฟุต) พื้นที่ 2.9768 ตร.ม./แผ่น สามารถเปลี่ยนขนาดได้ที่ช่อง C5 และ C6</t>
        </is>
      </c>
    </row>
    <row r="30">
      <c r="A30" s="29" t="inlineStr">
        <is>
          <t>4. ค่าเผื่อเศษตัด (Waste Factor) เริ่มต้นตั้งไว้ที่ 15% (ช่อง C8) สามารถปรับลดเหลือ 10% หากตัด Nesting ได้ชิด หรือเพิ่มเป็น 20% หากมีเศษเหลือมุม</t>
        </is>
      </c>
    </row>
    <row r="31">
      <c r="A31" s="29" t="inlineStr">
        <is>
          <t>5. สูตรจะคำนวณพื้นที่สุทธิ (Net Area), พื้นที่รวมเผื่อเศษ (Gross Area), และปัดเศษขึ้นเป็นจำนวนแผ่นเต็มที่ต้องใช้จริงโดยอัตโนมัติ</t>
        </is>
      </c>
    </row>
  </sheetData>
  <mergeCells count="13">
    <mergeCell ref="A29:I29"/>
    <mergeCell ref="A26:I26"/>
    <mergeCell ref="A1:J1"/>
    <mergeCell ref="I4:J5"/>
    <mergeCell ref="A28:I28"/>
    <mergeCell ref="B4:D4"/>
    <mergeCell ref="F4:H4"/>
    <mergeCell ref="A27:I27"/>
    <mergeCell ref="A31:I31"/>
    <mergeCell ref="A2:J2"/>
    <mergeCell ref="I6:J8"/>
    <mergeCell ref="A24:C24"/>
    <mergeCell ref="A30:I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20" customWidth="1" min="4" max="4"/>
    <col width="18" customWidth="1" min="5" max="5"/>
    <col width="35" customWidth="1" min="6" max="6"/>
  </cols>
  <sheetData>
    <row r="1" ht="28" customHeight="1">
      <c r="A1" s="30" t="inlineStr">
        <is>
          <t>ข้อมูลอ้างอิงขนาดแผ่นอลูมิเนียมคอมโพสิต (Aluminum Composite Sheet Standards)</t>
        </is>
      </c>
    </row>
    <row r="3" ht="25" customHeight="1">
      <c r="A3" s="16" t="inlineStr">
        <is>
          <t>ขนาดมาตรฐาน (Standard Size)</t>
        </is>
      </c>
      <c r="B3" s="16" t="inlineStr">
        <is>
          <t>กว้าง (W) มม.</t>
        </is>
      </c>
      <c r="C3" s="16" t="inlineStr">
        <is>
          <t>ยาว (L) มม.</t>
        </is>
      </c>
      <c r="D3" s="16" t="inlineStr">
        <is>
          <t>พื้นที่ (ตร.ม./แผ่น)</t>
        </is>
      </c>
      <c r="E3" s="16" t="inlineStr">
        <is>
          <t>ความหนารวมทั่วไป</t>
        </is>
      </c>
      <c r="F3" s="16" t="inlineStr">
        <is>
          <t>การใช้งานที่นิยม</t>
        </is>
      </c>
    </row>
    <row r="4">
      <c r="A4" s="18" t="inlineStr">
        <is>
          <t>4 x 8 ฟุต (มาตรฐานสากล - นิยมที่สุด)</t>
        </is>
      </c>
      <c r="B4" s="31" t="n">
        <v>1220</v>
      </c>
      <c r="C4" s="31" t="n">
        <v>2440</v>
      </c>
      <c r="D4" s="13">
        <f>B4*C4/1000000</f>
        <v/>
      </c>
      <c r="E4" s="6" t="inlineStr">
        <is>
          <t>3 มม. / 4 มม.</t>
        </is>
      </c>
      <c r="F4" s="6" t="inlineStr">
        <is>
          <t>โครงสร้างตู้, พาร์ทิชัน, ป้าย</t>
        </is>
      </c>
    </row>
    <row r="5">
      <c r="A5" s="18" t="inlineStr">
        <is>
          <t>1.25 x 2.50 เมตร (ไซส์ยุโรป)</t>
        </is>
      </c>
      <c r="B5" s="31" t="n">
        <v>1250</v>
      </c>
      <c r="C5" s="31" t="n">
        <v>2500</v>
      </c>
      <c r="D5" s="13">
        <f>B5*C5/1000000</f>
        <v/>
      </c>
      <c r="E5" s="6" t="inlineStr">
        <is>
          <t>4 มม.</t>
        </is>
      </c>
      <c r="F5" s="6" t="inlineStr">
        <is>
          <t>งานอาคาร, ผนังตู้ขนาดใหญ่</t>
        </is>
      </c>
    </row>
    <row r="6">
      <c r="A6" s="18" t="inlineStr">
        <is>
          <t>4 x 10 ฟุต (แผ่นยาว)</t>
        </is>
      </c>
      <c r="B6" s="31" t="n">
        <v>1220</v>
      </c>
      <c r="C6" s="31" t="n">
        <v>3050</v>
      </c>
      <c r="D6" s="13">
        <f>B6*C6/1000000</f>
        <v/>
      </c>
      <c r="E6" s="6" t="inlineStr">
        <is>
          <t>4 มม.</t>
        </is>
      </c>
      <c r="F6" s="6" t="inlineStr">
        <is>
          <t>ฝาหลังตู้สูง, ชิ้นส่วนยาวต่อเนื่อง</t>
        </is>
      </c>
    </row>
    <row r="7">
      <c r="A7" s="18" t="inlineStr">
        <is>
          <t>5 x 10 ฟุต (แผ่นหน้ากว้าง)</t>
        </is>
      </c>
      <c r="B7" s="31" t="n">
        <v>1500</v>
      </c>
      <c r="C7" s="31" t="n">
        <v>3000</v>
      </c>
      <c r="D7" s="13">
        <f>B7*C7/1000000</f>
        <v/>
      </c>
      <c r="E7" s="6" t="inlineStr">
        <is>
          <t>4 มม.</t>
        </is>
      </c>
      <c r="F7" s="6" t="inlineStr">
        <is>
          <t>ชิ้นงานขนาดใหญ่ลดรอยต่อ</t>
        </is>
      </c>
    </row>
    <row r="10">
      <c r="A10" s="28" t="inlineStr">
        <is>
          <t>📐 เทคนิคการคำนวณขนาดคลี่สำหรับงานพับแผ่นคอมโพสิต (V-Groove Bending Allowance)</t>
        </is>
      </c>
    </row>
    <row r="11">
      <c r="A11" s="29" t="inlineStr">
        <is>
          <t>1. การพับแผ่นอลูมิเนียมคอมโพสิต นิยมใช้ใบเซาะร่อง V-Groove 90° หรือ 135° ด้านหลัง โดยเหลือชั้นแกนพลาสติกและอลูมิเนียมผิวหน้าไว้ประมาณ 0.5 - 0.8 มม.</t>
        </is>
      </c>
    </row>
    <row r="12">
      <c r="A12" s="29" t="inlineStr">
        <is>
          <t>2. ระยะปีกพับ (Bending Flange): ควรมีความกว้างอย่างน้อย 20 - 30 มม. เพื่อให้จับยึดรีเวทหรือสกรูได้แข็งแรง</t>
        </is>
      </c>
    </row>
    <row r="13">
      <c r="A13" s="29" t="inlineStr">
        <is>
          <t>3. การหาขนาด Blank Size (กว้าง x ยาว ก่อนพับ):</t>
        </is>
      </c>
    </row>
    <row r="14">
      <c r="A14" s="29" t="inlineStr">
        <is>
          <t xml:space="preserve">   - หากพับขึ้นขอบ 2 ข้าง ซ้าย-ขวา ข้างละ F มม. และแผ่นตรงกลางกว้าง W มม. -&gt; กว้างคลี่ = W + (2 x F) - K-factor (ปกติเผื่อลดลงประมาณ 1-2 มม. ต่อมุมพับ)</t>
        </is>
      </c>
    </row>
    <row r="15">
      <c r="A15" s="29" t="inlineStr">
        <is>
          <t xml:space="preserve">   - เพื่อความปลอดภัยในการสั่งแผ่น สามารถใช้ขนาด กว้างรวมปีก (W + 2F) ได้เลยโดยถือเป็นระยะเผื่อตัดแต่งขอบ</t>
        </is>
      </c>
    </row>
    <row r="16">
      <c r="A16" s="29" t="inlineStr">
        <is>
          <t>4. ความหนาของแผ่นคอมโพสิตที่แนะนำสำหรับภายในตู้ Vending: 3 มม. (ผิวอลูมิเนียม 0.21 - 0.30 มม.) เพื่อน้ำหนักเบาและพับง่าย</t>
        </is>
      </c>
    </row>
  </sheetData>
  <mergeCells count="8">
    <mergeCell ref="A16:F16"/>
    <mergeCell ref="A11:F11"/>
    <mergeCell ref="A10:F10"/>
    <mergeCell ref="A13:F13"/>
    <mergeCell ref="A14:F14"/>
    <mergeCell ref="A1:F1"/>
    <mergeCell ref="A12:F12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2026-09-28T07:46:53Z</dcterms:created>
  <dcterms:modified xmlns:dcterms="http://purl.org/dc/terms/" xmlns:xsi="http://www.w3.org/2001/XMLSchema-instance" xsi:type="dcterms:W3CDTF">2026-09-28T07:46:53Z</dcterms:modified>
</cp:coreProperties>
</file>