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สรุปภาพรวมทั้งตู้ (Summary)" sheetId="1" state="visible" r:id="rId1"/>
    <sheet xmlns:r="http://schemas.openxmlformats.org/officeDocument/2006/relationships" name="เช็ค Drawing (Check Drawing)" sheetId="2" state="visible" r:id="rId2"/>
    <sheet xmlns:r="http://schemas.openxmlformats.org/officeDocument/2006/relationships" name="ฝั่งนอก (Outer)" sheetId="3" state="visible" r:id="rId3"/>
    <sheet xmlns:r="http://schemas.openxmlformats.org/officeDocument/2006/relationships" name="ฝั่งใน (Inner)" sheetId="4" state="visible" r:id="rId4"/>
    <sheet xmlns:r="http://schemas.openxmlformats.org/officeDocument/2006/relationships" name="อะคริลิก (Acrylic)" sheetId="5" state="visible" r:id="rId5"/>
    <sheet xmlns:r="http://schemas.openxmlformats.org/officeDocument/2006/relationships" name="ขนาดแผ่นมาตรฐานและแนวทาง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7">
    <numFmt numFmtId="164" formatCode="#,##0\ &quot; ชิ้น&quot;"/>
    <numFmt numFmtId="165" formatCode="#,##0.0000\ &quot; m²&quot;"/>
    <numFmt numFmtId="166" formatCode="0\ &quot; แผ่น&quot;"/>
    <numFmt numFmtId="167" formatCode="#,##0.0000"/>
    <numFmt numFmtId="168" formatCode="0.0000"/>
    <numFmt numFmtId="169" formatCode="0.0%"/>
    <numFmt numFmtId="170" formatCode="0 &quot; ชิ้น&quot;"/>
  </numFmts>
  <fonts count="25">
    <font>
      <name val="Calibri"/>
      <family val="2"/>
      <color theme="1"/>
      <sz val="11"/>
      <scheme val="minor"/>
    </font>
    <font>
      <name val="Segoe UI"/>
      <b val="1"/>
      <color rgb="FF1B365D"/>
      <sz val="15"/>
    </font>
    <font>
      <name val="Segoe UI"/>
      <i val="1"/>
      <color rgb="FF5D6D7E"/>
      <sz val="10"/>
    </font>
    <font>
      <name val="Segoe UI"/>
      <b val="1"/>
      <color rgb="FF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FF1E8449"/>
      <sz val="11"/>
    </font>
    <font>
      <name val="Segoe UI"/>
      <b val="1"/>
      <color rgb="FF0E6655"/>
      <sz val="11"/>
    </font>
    <font>
      <name val="Segoe UI"/>
      <b val="1"/>
      <color rgb="FF1B365D"/>
      <sz val="11"/>
    </font>
    <font>
      <name val="Segoe UI"/>
      <b val="1"/>
      <color rgb="FF1E8449"/>
      <sz val="18"/>
    </font>
    <font>
      <name val="Segoe UI"/>
      <b val="1"/>
      <color rgb="FF0E6655"/>
      <sz val="18"/>
    </font>
    <font>
      <name val="Segoe UI"/>
      <b val="1"/>
      <color rgb="FF2C3E50"/>
      <sz val="10"/>
    </font>
    <font>
      <name val="Segoe UI"/>
      <b val="1"/>
      <color rgb="FF1B365D"/>
      <sz val="9"/>
    </font>
    <font>
      <name val="Segoe UI"/>
      <b val="1"/>
      <color rgb="FF78281F"/>
      <sz val="11"/>
    </font>
    <font>
      <name val="Segoe UI"/>
      <b val="1"/>
      <color rgb="FF1B4F72"/>
      <sz val="11"/>
    </font>
    <font>
      <name val="Segoe UI"/>
      <b val="1"/>
      <color rgb="001B365D"/>
      <sz val="15"/>
    </font>
    <font>
      <name val="Segoe UI"/>
      <i val="1"/>
      <color rgb="005D6D7E"/>
      <sz val="10"/>
    </font>
    <font>
      <name val="Segoe UI"/>
      <b val="1"/>
      <color rgb="001B365D"/>
      <sz val="9"/>
    </font>
    <font>
      <name val="Segoe UI"/>
      <b val="1"/>
      <color rgb="001B365D"/>
      <sz val="18"/>
    </font>
    <font>
      <name val="Segoe UI"/>
      <b val="1"/>
      <color rgb="001E8449"/>
      <sz val="9"/>
    </font>
    <font>
      <name val="Segoe UI"/>
      <b val="1"/>
      <color rgb="001E8449"/>
      <sz val="18"/>
    </font>
    <font>
      <name val="Segoe UI"/>
      <b val="1"/>
      <color rgb="00B9770E"/>
      <sz val="9"/>
    </font>
    <font>
      <name val="Segoe UI"/>
      <b val="1"/>
      <color rgb="00B9770E"/>
      <sz val="18"/>
    </font>
    <font>
      <name val="Segoe UI"/>
      <b val="1"/>
      <color rgb="00FFFFFF"/>
      <sz val="10"/>
    </font>
    <font>
      <name val="Segoe UI"/>
      <b val="1"/>
      <color rgb="001B365D"/>
      <sz val="11"/>
    </font>
  </fonts>
  <fills count="21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F1F5"/>
        <bgColor rgb="FFE8F1F5"/>
      </patternFill>
    </fill>
    <fill>
      <patternFill patternType="solid">
        <fgColor rgb="FFE8F8F5"/>
        <bgColor rgb="FFE8F8F5"/>
      </patternFill>
    </fill>
    <fill>
      <patternFill patternType="solid">
        <fgColor rgb="FFD1F2EB"/>
        <bgColor rgb="FFD1F2EB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  <fill>
      <patternFill patternType="solid">
        <fgColor rgb="FF78281F"/>
        <bgColor rgb="FF78281F"/>
      </patternFill>
    </fill>
    <fill>
      <patternFill patternType="solid">
        <fgColor rgb="FFD4E6F1"/>
        <bgColor rgb="FFD4E6F1"/>
      </patternFill>
    </fill>
    <fill>
      <patternFill patternType="solid">
        <fgColor rgb="FF1B4F72"/>
        <bgColor rgb="FF1B4F72"/>
      </patternFill>
    </fill>
    <fill>
      <patternFill patternType="solid">
        <fgColor rgb="FF0E6655"/>
        <bgColor rgb="FF0E6655"/>
      </patternFill>
    </fill>
    <fill>
      <patternFill patternType="solid">
        <fgColor rgb="00E8F1F5"/>
        <bgColor rgb="00E8F1F5"/>
      </patternFill>
    </fill>
    <fill>
      <patternFill patternType="solid">
        <fgColor rgb="00F8F9FA"/>
        <bgColor rgb="00F8F9FA"/>
      </patternFill>
    </fill>
    <fill>
      <patternFill patternType="solid">
        <fgColor rgb="00D4EFDF"/>
        <bgColor rgb="00D4EFDF"/>
      </patternFill>
    </fill>
    <fill>
      <patternFill patternType="solid">
        <fgColor rgb="00FCF3CF"/>
        <bgColor rgb="00FCF3CF"/>
      </patternFill>
    </fill>
    <fill>
      <patternFill patternType="solid">
        <fgColor rgb="00243342"/>
        <bgColor rgb="00243342"/>
      </patternFill>
    </fill>
    <fill>
      <patternFill patternType="solid">
        <fgColor rgb="00D4E6F1"/>
        <bgColor rgb="00D4E6F1"/>
      </patternFill>
    </fill>
    <fill>
      <patternFill patternType="solid">
        <fgColor rgb="00FEF9E7"/>
        <bgColor rgb="00FEF9E7"/>
      </patternFill>
    </fill>
    <fill>
      <patternFill patternType="solid">
        <fgColor rgb="00FADBD8"/>
        <bgColor rgb="00FADBD8"/>
      </patternFill>
    </fill>
    <fill>
      <patternFill patternType="solid">
        <fgColor rgb="00D1F2EB"/>
        <bgColor rgb="00D1F2EB"/>
      </patternFill>
    </fill>
  </fills>
  <borders count="1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34495E"/>
      </top>
      <bottom style="medium">
        <color rgb="FF34495E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double">
        <color rgb="FF34495E"/>
      </bottom>
      <diagonal/>
    </border>
    <border>
      <left style="medium">
        <color rgb="FF34495E"/>
      </left>
      <right style="medium">
        <color rgb="FF34495E"/>
      </right>
      <top style="medium">
        <color rgb="FF34495E"/>
      </top>
      <bottom style="medium">
        <color rgb="FF34495E"/>
      </bottom>
      <diagonal/>
    </border>
    <border>
      <left/>
      <right/>
      <top style="medium">
        <color rgb="FF34495E"/>
      </top>
      <bottom/>
      <diagonal/>
    </border>
    <border>
      <left style="medium">
        <color rgb="FF34495E"/>
      </left>
      <right/>
      <top/>
      <bottom/>
      <diagonal/>
    </border>
    <border>
      <left/>
      <right style="medium">
        <color rgb="FF34495E"/>
      </right>
      <top style="medium">
        <color rgb="FF34495E"/>
      </top>
      <bottom/>
      <diagonal/>
    </border>
    <border>
      <left/>
      <right style="medium">
        <color rgb="FF34495E"/>
      </right>
      <top/>
      <bottom/>
      <diagonal/>
    </border>
    <border>
      <left style="medium">
        <color rgb="FF34495E"/>
      </left>
      <right/>
      <top/>
      <bottom style="medium">
        <color rgb="FF34495E"/>
      </bottom>
      <diagonal/>
    </border>
    <border>
      <left/>
      <right/>
      <top/>
      <bottom style="medium">
        <color rgb="FF34495E"/>
      </bottom>
      <diagonal/>
    </border>
    <border>
      <left/>
      <right style="medium">
        <color rgb="FF34495E"/>
      </right>
      <top/>
      <bottom style="medium">
        <color rgb="FF34495E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double">
        <color rgb="FF34495E"/>
      </bottom>
      <diagonal/>
    </border>
    <border>
      <left/>
      <right style="thin">
        <color rgb="FFBDC3C7"/>
      </right>
      <top style="thin">
        <color rgb="FFBDC3C7"/>
      </top>
      <bottom style="double">
        <color rgb="FF34495E"/>
      </bottom>
      <diagonal/>
    </border>
    <border>
      <left style="medium">
        <color rgb="0034495E"/>
      </left>
      <right style="medium">
        <color rgb="0034495E"/>
      </right>
      <top style="medium">
        <color rgb="0034495E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164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center" vertical="center"/>
    </xf>
    <xf numFmtId="0" fontId="2" fillId="0" borderId="2" pivotButton="0" quotePrefix="0" xfId="0"/>
    <xf numFmtId="0" fontId="4" fillId="3" borderId="3" pivotButton="0" quotePrefix="0" xfId="0"/>
    <xf numFmtId="164" fontId="4" fillId="3" borderId="3" applyAlignment="1" pivotButton="0" quotePrefix="0" xfId="0">
      <alignment horizontal="center" vertical="center"/>
    </xf>
    <xf numFmtId="165" fontId="4" fillId="3" borderId="3" applyAlignment="1" pivotButton="0" quotePrefix="0" xfId="0">
      <alignment horizontal="right" vertical="center"/>
    </xf>
    <xf numFmtId="2" fontId="4" fillId="3" borderId="3" applyAlignment="1" pivotButton="0" quotePrefix="0" xfId="0">
      <alignment horizontal="right" vertical="center"/>
    </xf>
    <xf numFmtId="166" fontId="6" fillId="4" borderId="3" applyAlignment="1" pivotButton="0" quotePrefix="0" xfId="0">
      <alignment horizontal="center" vertical="center"/>
    </xf>
    <xf numFmtId="0" fontId="2" fillId="3" borderId="3" pivotButton="0" quotePrefix="0" xfId="0"/>
    <xf numFmtId="166" fontId="7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9" fontId="5" fillId="6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center" vertical="center"/>
    </xf>
    <xf numFmtId="169" fontId="5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0" fillId="7" borderId="3" pivotButton="0" quotePrefix="0" xfId="0"/>
    <xf numFmtId="3" fontId="4" fillId="7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167" fontId="13" fillId="7" borderId="3" applyAlignment="1" pivotButton="0" quotePrefix="0" xfId="0">
      <alignment horizontal="right" vertical="center"/>
    </xf>
    <xf numFmtId="169" fontId="4" fillId="7" borderId="3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0" fillId="9" borderId="3" pivotButton="0" quotePrefix="0" xfId="0"/>
    <xf numFmtId="3" fontId="4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/>
    </xf>
    <xf numFmtId="167" fontId="14" fillId="9" borderId="3" applyAlignment="1" pivotButton="0" quotePrefix="0" xfId="0">
      <alignment horizontal="right" vertical="center"/>
    </xf>
    <xf numFmtId="169" fontId="4" fillId="9" borderId="3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 wrapText="1"/>
    </xf>
    <xf numFmtId="0" fontId="0" fillId="5" borderId="3" pivotButton="0" quotePrefix="0" xfId="0"/>
    <xf numFmtId="3" fontId="4" fillId="5" borderId="3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167" fontId="7" fillId="5" borderId="3" applyAlignment="1" pivotButton="0" quotePrefix="0" xfId="0">
      <alignment horizontal="right" vertical="center"/>
    </xf>
    <xf numFmtId="169" fontId="4" fillId="5" borderId="3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0" fontId="1" fillId="0" borderId="0" pivotButton="0" quotePrefix="0" xfId="0"/>
    <xf numFmtId="0" fontId="0" fillId="0" borderId="0" pivotButton="0" quotePrefix="0" xfId="0"/>
    <xf numFmtId="0" fontId="8" fillId="3" borderId="4" applyAlignment="1" pivotButton="0" quotePrefix="0" xfId="0">
      <alignment horizontal="center" vertical="center"/>
    </xf>
    <xf numFmtId="0" fontId="0" fillId="0" borderId="4" pivotButton="0" quotePrefix="0" xfId="0"/>
    <xf numFmtId="166" fontId="9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166" fontId="10" fillId="5" borderId="4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2" fillId="7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7" borderId="3" applyAlignment="1" pivotButton="0" quotePrefix="0" xfId="0">
      <alignment horizontal="center" vertical="center"/>
    </xf>
    <xf numFmtId="0" fontId="0" fillId="7" borderId="3" pivotButton="0" quotePrefix="0" xfId="0"/>
    <xf numFmtId="0" fontId="12" fillId="9" borderId="4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/>
    </xf>
    <xf numFmtId="0" fontId="0" fillId="9" borderId="3" pivotButton="0" quotePrefix="0" xfId="0"/>
    <xf numFmtId="0" fontId="12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/>
    </xf>
    <xf numFmtId="0" fontId="0" fillId="5" borderId="3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8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12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19" fillId="14" borderId="16" applyAlignment="1" pivotButton="0" quotePrefix="0" xfId="0">
      <alignment horizontal="center" vertical="center" wrapText="1"/>
    </xf>
    <xf numFmtId="0" fontId="21" fillId="15" borderId="16" applyAlignment="1" pivotButton="0" quotePrefix="0" xfId="0">
      <alignment horizontal="center" vertical="center" wrapText="1"/>
    </xf>
    <xf numFmtId="170" fontId="18" fillId="13" borderId="16" applyAlignment="1" pivotButton="0" quotePrefix="0" xfId="0">
      <alignment horizontal="center" vertical="center"/>
    </xf>
    <xf numFmtId="170" fontId="20" fillId="14" borderId="16" applyAlignment="1" pivotButton="0" quotePrefix="0" xfId="0">
      <alignment horizontal="center" vertical="center"/>
    </xf>
    <xf numFmtId="170" fontId="22" fillId="15" borderId="16" applyAlignment="1" pivotButton="0" quotePrefix="0" xfId="0">
      <alignment horizontal="center" vertical="center"/>
    </xf>
    <xf numFmtId="169" fontId="20" fillId="13" borderId="16" applyAlignment="1" pivotButton="0" quotePrefix="0" xfId="0">
      <alignment horizontal="center" vertical="center"/>
    </xf>
    <xf numFmtId="0" fontId="23" fillId="16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4" fillId="17" borderId="18" applyAlignment="1" pivotButton="0" quotePrefix="0" xfId="0">
      <alignment horizontal="center" vertical="center"/>
    </xf>
    <xf numFmtId="0" fontId="4" fillId="0" borderId="18" applyAlignment="1" pivotButton="0" quotePrefix="0" xfId="0">
      <alignment horizontal="left" vertical="center"/>
    </xf>
    <xf numFmtId="0" fontId="5" fillId="0" borderId="18" applyAlignment="1" pivotButton="0" quotePrefix="0" xfId="0">
      <alignment horizontal="left" vertical="center"/>
    </xf>
    <xf numFmtId="3" fontId="4" fillId="0" borderId="18" applyAlignment="1" pivotButton="0" quotePrefix="0" xfId="0">
      <alignment horizontal="center" vertical="center"/>
    </xf>
    <xf numFmtId="3" fontId="5" fillId="0" borderId="18" applyAlignment="1" pivotButton="0" quotePrefix="0" xfId="0">
      <alignment horizontal="right" vertical="center"/>
    </xf>
    <xf numFmtId="0" fontId="4" fillId="15" borderId="18" applyAlignment="1" pivotButton="0" quotePrefix="0" xfId="0">
      <alignment horizontal="center" vertical="center"/>
    </xf>
    <xf numFmtId="0" fontId="5" fillId="18" borderId="18" applyAlignment="1" pivotButton="0" quotePrefix="0" xfId="0">
      <alignment horizontal="left" vertical="center"/>
    </xf>
    <xf numFmtId="0" fontId="16" fillId="18" borderId="18" applyAlignment="1" pivotButton="0" quotePrefix="0" xfId="0">
      <alignment horizontal="center" vertical="center"/>
    </xf>
    <xf numFmtId="0" fontId="16" fillId="18" borderId="18" applyAlignment="1" pivotButton="0" quotePrefix="0" xfId="0">
      <alignment horizontal="left" vertical="center"/>
    </xf>
    <xf numFmtId="0" fontId="4" fillId="14" borderId="18" applyAlignment="1" pivotButton="0" quotePrefix="0" xfId="0">
      <alignment horizontal="center" vertical="center"/>
    </xf>
    <xf numFmtId="0" fontId="4" fillId="19" borderId="18" applyAlignment="1" pivotButton="0" quotePrefix="0" xfId="0">
      <alignment horizontal="center" vertical="center"/>
    </xf>
    <xf numFmtId="0" fontId="4" fillId="20" borderId="18" applyAlignment="1" pivotButton="0" quotePrefix="0" xfId="0">
      <alignment horizontal="center" vertical="center"/>
    </xf>
    <xf numFmtId="0" fontId="24" fillId="0" borderId="0" pivotButton="0" quotePrefix="0" xfId="0"/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169" fontId="5" fillId="6" borderId="2" applyAlignment="1" pivotButton="0" quotePrefix="0" xfId="0">
      <alignment horizontal="right" vertical="center"/>
    </xf>
    <xf numFmtId="169" fontId="5" fillId="0" borderId="2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7" fontId="13" fillId="7" borderId="3" applyAlignment="1" pivotButton="0" quotePrefix="0" xfId="0">
      <alignment horizontal="right" vertical="center"/>
    </xf>
    <xf numFmtId="169" fontId="4" fillId="7" borderId="3" applyAlignment="1" pivotButton="0" quotePrefix="0" xfId="0">
      <alignment horizontal="right" vertical="center"/>
    </xf>
    <xf numFmtId="167" fontId="14" fillId="9" borderId="3" applyAlignment="1" pivotButton="0" quotePrefix="0" xfId="0">
      <alignment horizontal="right" vertical="center"/>
    </xf>
    <xf numFmtId="169" fontId="4" fillId="9" borderId="3" applyAlignment="1" pivotButton="0" quotePrefix="0" xfId="0">
      <alignment horizontal="right" vertical="center"/>
    </xf>
    <xf numFmtId="167" fontId="7" fillId="5" borderId="3" applyAlignment="1" pivotButton="0" quotePrefix="0" xfId="0">
      <alignment horizontal="right" vertical="center"/>
    </xf>
    <xf numFmtId="169" fontId="4" fillId="5" borderId="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G27" sqref="G26:G27"/>
    </sheetView>
  </sheetViews>
  <sheetFormatPr baseColWidth="8" defaultRowHeight="15"/>
  <cols>
    <col width="38" customWidth="1" style="49" min="1" max="1"/>
    <col width="18" customWidth="1" style="49" min="2" max="2"/>
    <col width="20" customWidth="1" style="49" min="3" max="4"/>
    <col width="16" customWidth="1" style="49" min="5" max="5"/>
    <col width="20" customWidth="1" style="49" min="6" max="6"/>
    <col width="38" customWidth="1" style="49" min="7" max="7"/>
  </cols>
  <sheetData>
    <row r="1" ht="27.95" customHeight="1" s="49">
      <c r="A1" s="48" t="inlineStr">
        <is>
          <t>📊 สรุปภาพรวมการสั่งซื้อแผ่นคอมโพสิตและอะคริลิก (Bill of Materials)</t>
        </is>
      </c>
    </row>
    <row r="2" ht="20.1" customHeight="1" s="49">
      <c r="A2" s="55" t="inlineStr">
        <is>
          <t>โครงการ: Narit Vending Machine | สรุปแยกตามชนิดวัสดุ: แผ่นคอมโพสิต (ฝั่งใน + ฝั่งนอก) และ แผ่นอะคริลิกใส (Acrylic)</t>
        </is>
      </c>
    </row>
    <row r="4" ht="26.1" customHeight="1" s="49">
      <c r="A4" s="1" t="inlineStr">
        <is>
          <t>หมวดหมู่วัสดุ / ส่วนงาน (Material &amp; Section)</t>
        </is>
      </c>
      <c r="B4" s="1" t="inlineStr">
        <is>
          <t>จำนวนชิ้นงาน (Qty)</t>
        </is>
      </c>
      <c r="C4" s="1" t="inlineStr">
        <is>
          <t>พื้นที่สุทธิ (Net Area m²)</t>
        </is>
      </c>
      <c r="D4" s="1" t="inlineStr">
        <is>
          <t>พื้นที่เผื่อเศษ (Gross Area m²)</t>
        </is>
      </c>
      <c r="E4" s="1" t="inlineStr">
        <is>
          <t>แผ่นตามทฤษฎี</t>
        </is>
      </c>
      <c r="F4" s="1" t="inlineStr">
        <is>
          <t>สั่งซื้อ (แผ่น)</t>
        </is>
      </c>
      <c r="G4" s="1" t="inlineStr">
        <is>
          <t>หมายเหตุ</t>
        </is>
      </c>
    </row>
    <row r="5" ht="21.95" customHeight="1" s="49">
      <c r="A5" s="2" t="inlineStr">
        <is>
          <t>1. แผ่นคอมโพสิต - ฝั่งใน (Inner Composite)</t>
        </is>
      </c>
      <c r="B5" s="3">
        <f>'ฝั่งใน (Inner)'!D24</f>
        <v/>
      </c>
      <c r="C5" s="4">
        <f>'ฝั่งใน (Inner)'!G6</f>
        <v/>
      </c>
      <c r="D5" s="4">
        <f>'ฝั่งใน (Inner)'!G7</f>
        <v/>
      </c>
      <c r="E5" s="5">
        <f>'ฝั่งใน (Inner)'!G8</f>
        <v/>
      </c>
      <c r="F5" s="6">
        <f>'ฝั่งใน (Inner)'!I6</f>
        <v/>
      </c>
      <c r="G5" s="7" t="inlineStr">
        <is>
          <t>แผ่นกั้น Partition, กล่องใน, ฝาหลังใน, ซับในประตู</t>
        </is>
      </c>
    </row>
    <row r="6" ht="21.95" customHeight="1" s="49">
      <c r="A6" s="2" t="inlineStr">
        <is>
          <t>2. แผ่นคอมโพสิต - ฝั่งนอก (Outer Composite)</t>
        </is>
      </c>
      <c r="B6" s="3">
        <f>'ฝั่งนอก (Outer)'!D24</f>
        <v/>
      </c>
      <c r="C6" s="4">
        <f>'ฝั่งนอก (Outer)'!G6</f>
        <v/>
      </c>
      <c r="D6" s="4">
        <f>'ฝั่งนอก (Outer)'!G7</f>
        <v/>
      </c>
      <c r="E6" s="5">
        <f>'ฝั่งนอก (Outer)'!G8</f>
        <v/>
      </c>
      <c r="F6" s="6">
        <f>'ฝั่งนอก (Outer)'!I6</f>
        <v/>
      </c>
      <c r="G6" s="7" t="inlineStr">
        <is>
          <t>ฝาบน, ฝาหลัง, ฝาข้างซ้าย-ขวา, บานประตูหน้านอก</t>
        </is>
      </c>
    </row>
    <row r="7" ht="24" customHeight="1" s="49">
      <c r="A7" s="8" t="inlineStr">
        <is>
          <t>รวมแผ่นคอมโพสิตทั้งตู้ (Total Composite)</t>
        </is>
      </c>
      <c r="B7" s="9">
        <f>B5+B6</f>
        <v/>
      </c>
      <c r="C7" s="10">
        <f>C5+C6</f>
        <v/>
      </c>
      <c r="D7" s="10">
        <f>D5+D6</f>
        <v/>
      </c>
      <c r="E7" s="11">
        <f>E5+E6</f>
        <v/>
      </c>
      <c r="F7" s="12">
        <f>ROUNDUP(D7/'ฝั่งใน (Inner)'!C7, 0)</f>
        <v/>
      </c>
      <c r="G7" s="13" t="inlineStr">
        <is>
          <t>คำนวณรวม Nesting ตัดคอมโพสิตทั้งตู้</t>
        </is>
      </c>
    </row>
    <row r="8" ht="24" customHeight="1" s="49">
      <c r="A8" s="2" t="inlineStr">
        <is>
          <t>3. แผ่นอะคริลิกใส (Acrylic Sheet)</t>
        </is>
      </c>
      <c r="B8" s="3">
        <f>'อะคริลิก (Acrylic)'!D18</f>
        <v/>
      </c>
      <c r="C8" s="4">
        <f>'อะคริลิก (Acrylic)'!G6</f>
        <v/>
      </c>
      <c r="D8" s="4">
        <f>'อะคริลิก (Acrylic)'!G7</f>
        <v/>
      </c>
      <c r="E8" s="5">
        <f>'อะคริลิก (Acrylic)'!G8</f>
        <v/>
      </c>
      <c r="F8" s="14">
        <f>'อะคริลิก (Acrylic)'!I6</f>
        <v/>
      </c>
      <c r="G8" s="7" t="inlineStr">
        <is>
          <t>ฝาครอบอะคริลิกด้านหน้าและด้านข้าง (แผ่นใส/ตกแต่ง)</t>
        </is>
      </c>
    </row>
    <row r="11">
      <c r="A11" s="50" t="inlineStr">
        <is>
          <t>📦 แผ่นอลูมิเนียมคอมโพสิต (Total Composite)
สั่งซื้อรวมทั้งตู้ (Inner + Outer)</t>
        </is>
      </c>
      <c r="B11" s="70" t="n"/>
      <c r="C11" s="71" t="n"/>
      <c r="E11" s="53" t="inlineStr">
        <is>
          <t>💎 แผ่นอะคริลิกใส (Acrylic Sheet)
สำหรับฝาหน้าและฝาข้างขวา</t>
        </is>
      </c>
      <c r="F11" s="70" t="n"/>
      <c r="G11" s="71" t="n"/>
    </row>
    <row r="12">
      <c r="A12" s="72" t="n"/>
      <c r="B12" s="73" t="n"/>
      <c r="C12" s="74" t="n"/>
      <c r="E12" s="72" t="n"/>
      <c r="F12" s="73" t="n"/>
      <c r="G12" s="74" t="n"/>
    </row>
    <row r="13">
      <c r="A13" s="52">
        <f>F7</f>
        <v/>
      </c>
      <c r="B13" s="70" t="n"/>
      <c r="C13" s="71" t="n"/>
      <c r="E13" s="54">
        <f>F8</f>
        <v/>
      </c>
      <c r="F13" s="70" t="n"/>
      <c r="G13" s="71" t="n"/>
    </row>
    <row r="14">
      <c r="A14" s="75" t="n"/>
      <c r="C14" s="76" t="n"/>
      <c r="E14" s="75" t="n"/>
      <c r="G14" s="76" t="n"/>
    </row>
    <row r="15">
      <c r="A15" s="72" t="n"/>
      <c r="B15" s="73" t="n"/>
      <c r="C15" s="74" t="n"/>
      <c r="E15" s="72" t="n"/>
      <c r="F15" s="73" t="n"/>
      <c r="G15" s="74" t="n"/>
    </row>
  </sheetData>
  <mergeCells count="6">
    <mergeCell ref="A1:G1"/>
    <mergeCell ref="A11:C12"/>
    <mergeCell ref="A13:C15"/>
    <mergeCell ref="E11:G12"/>
    <mergeCell ref="E13:G1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/>
  <cols>
    <col width="7" customWidth="1" style="49" min="1" max="1"/>
    <col width="20" customWidth="1" style="49" min="2" max="2"/>
    <col width="32" customWidth="1" style="49" min="3" max="3"/>
    <col width="30" customWidth="1" style="49" min="4" max="4"/>
    <col width="10" customWidth="1" style="49" min="5" max="5"/>
    <col width="14" customWidth="1" style="49" min="6" max="6"/>
    <col width="14" customWidth="1" style="49" min="7" max="7"/>
    <col width="20" customWidth="1" style="49" min="8" max="8"/>
    <col width="24" customWidth="1" style="49" min="9" max="9"/>
    <col width="26" customWidth="1" style="49" min="10" max="10"/>
    <col width="16" customWidth="1" style="49" min="11" max="11"/>
    <col width="35" customWidth="1" style="49" min="12" max="12"/>
  </cols>
  <sheetData>
    <row r="1" ht="26" customHeight="1" s="49">
      <c r="A1" s="77" t="inlineStr">
        <is>
          <t>📋 รายการตรวจสอบสถานะการทำ 2D Drawing ชิ้นงาน (Drawing Progress Checklist)</t>
        </is>
      </c>
    </row>
    <row r="2" ht="18" customHeight="1" s="49">
      <c r="A2" s="78" t="inlineStr">
        <is>
          <t>โครงการ: Narit Vending Machine | ตรวจสอบความครบถ้วนของแบบสั่งผลิต (2D Drawing), แผ่นคลี่ตัด (Flatten / DXF), และเลขที่แบบ (DWG No.)</t>
        </is>
      </c>
    </row>
    <row r="4">
      <c r="B4" s="79" t="inlineStr">
        <is>
          <t>จำนวนชิ้นงานทั้งหมด
(Total Parts)</t>
        </is>
      </c>
      <c r="C4" s="80" t="n"/>
      <c r="E4" s="81" t="inlineStr">
        <is>
          <t>Drawing เสร็จแล้ว ✅
(Completed)</t>
        </is>
      </c>
      <c r="F4" s="80" t="n"/>
      <c r="H4" s="82" t="inlineStr">
        <is>
          <t>ยังไม่ได้ทำ / กำลังทำ ⏳
(Pending / In Progress)</t>
        </is>
      </c>
      <c r="I4" s="80" t="n"/>
      <c r="K4" s="79" t="inlineStr">
        <is>
          <t>ความคืบหน้ารวม 📊
(Overall Progress)</t>
        </is>
      </c>
      <c r="L4" s="80" t="n"/>
    </row>
    <row r="5">
      <c r="B5" s="83">
        <f>COUNTA(C11:C31)</f>
        <v/>
      </c>
      <c r="C5" s="80" t="n"/>
      <c r="E5" s="84">
        <f>COUNTIF(H11:H31, "เสร็จแล้ว")</f>
        <v/>
      </c>
      <c r="F5" s="80" t="n"/>
      <c r="H5" s="85">
        <f>B5-E5</f>
        <v/>
      </c>
      <c r="I5" s="80" t="n"/>
      <c r="K5" s="86">
        <f>IF(B5&gt;0, E5/B5, 0)</f>
        <v/>
      </c>
      <c r="L5" s="80" t="n"/>
    </row>
    <row r="6">
      <c r="B6" s="80" t="n"/>
      <c r="C6" s="80" t="n"/>
      <c r="E6" s="80" t="n"/>
      <c r="F6" s="80" t="n"/>
      <c r="H6" s="80" t="n"/>
      <c r="I6" s="80" t="n"/>
      <c r="K6" s="80" t="n"/>
      <c r="L6" s="80" t="n"/>
    </row>
    <row r="7">
      <c r="B7" s="80" t="n"/>
      <c r="C7" s="80" t="n"/>
      <c r="E7" s="80" t="n"/>
      <c r="F7" s="80" t="n"/>
      <c r="H7" s="80" t="n"/>
      <c r="I7" s="80" t="n"/>
      <c r="K7" s="80" t="n"/>
      <c r="L7" s="80" t="n"/>
    </row>
    <row r="10" ht="32" customHeight="1" s="49">
      <c r="A10" s="87" t="inlineStr">
        <is>
          <t>ลำดับ
No.</t>
        </is>
      </c>
      <c r="B10" s="87" t="inlineStr">
        <is>
          <t>หมวดหมู่วัสดุ / ส่วนงาน
Section / Group</t>
        </is>
      </c>
      <c r="C10" s="87" t="inlineStr">
        <is>
          <t>รหัส / ชื่อชิ้นงาน (SOLIDWORKS)
Part Name</t>
        </is>
      </c>
      <c r="D10" s="87" t="inlineStr">
        <is>
          <t>ลักษณะชิ้นงาน / ตำแหน่ง
Description</t>
        </is>
      </c>
      <c r="E10" s="87" t="inlineStr">
        <is>
          <t>จำนวน
Qty</t>
        </is>
      </c>
      <c r="F10" s="87" t="inlineStr">
        <is>
          <t>กว้างคลี่ (W)
(mm)</t>
        </is>
      </c>
      <c r="G10" s="87" t="inlineStr">
        <is>
          <t>ยาวคลี่ (L)
(mm)</t>
        </is>
      </c>
      <c r="H10" s="87" t="inlineStr">
        <is>
          <t>สถานะ Drawing 2D
(Drawing Status)</t>
        </is>
      </c>
      <c r="I10" s="87" t="inlineStr">
        <is>
          <t>แบบคลี่ตัด (Flatten / DXF)
(Sheet Metal Blank)</t>
        </is>
      </c>
      <c r="J10" s="87" t="inlineStr">
        <is>
          <t>รหัสแบบ Drawing No.
(Document / DWG No.)</t>
        </is>
      </c>
      <c r="K10" s="87" t="inlineStr">
        <is>
          <t>วันที่เสร็จ / อัปเดต
Date</t>
        </is>
      </c>
      <c r="L10" s="87" t="inlineStr">
        <is>
          <t>หมายเหตุ / ตำแหน่งจัดเก็บไฟล์
Remarks &amp; File Path</t>
        </is>
      </c>
    </row>
    <row r="11" ht="22" customHeight="1" s="49">
      <c r="A11" s="88" t="n">
        <v>1</v>
      </c>
      <c r="B11" s="89" t="inlineStr">
        <is>
          <t>ฝั่งใน (Inner)</t>
        </is>
      </c>
      <c r="C11" s="90" t="inlineStr">
        <is>
          <t>Partition-Inner 3-st</t>
        </is>
      </c>
      <c r="D11" s="91" t="inlineStr">
        <is>
          <t>แผ่นกั้นภายในตู้ 3</t>
        </is>
      </c>
      <c r="E11" s="92">
        <f>'ฝั่งใน (Inner)'!D12</f>
        <v/>
      </c>
      <c r="F11" s="93">
        <f>'ฝั่งใน (Inner)'!E12</f>
        <v/>
      </c>
      <c r="G11" s="93">
        <f>'ฝั่งใน (Inner)'!F12</f>
        <v/>
      </c>
      <c r="H11" s="94" t="inlineStr">
        <is>
          <t>ยังไม่ทำ</t>
        </is>
      </c>
      <c r="I11" s="88" t="inlineStr">
        <is>
          <t>ยังไม่มี</t>
        </is>
      </c>
      <c r="J11" s="95" t="inlineStr"/>
      <c r="K11" s="96" t="inlineStr"/>
      <c r="L11" s="97" t="inlineStr">
        <is>
          <t>แผ่นกั้นตรง มีเจาะรูยึด</t>
        </is>
      </c>
    </row>
    <row r="12" ht="22" customHeight="1" s="49">
      <c r="A12" s="88" t="n">
        <v>2</v>
      </c>
      <c r="B12" s="89" t="inlineStr">
        <is>
          <t>ฝั่งใน (Inner)</t>
        </is>
      </c>
      <c r="C12" s="90" t="inlineStr">
        <is>
          <t>Partition-Inner 1-st</t>
        </is>
      </c>
      <c r="D12" s="91" t="inlineStr">
        <is>
          <t>แผ่นกั้นภายในตู้ 1</t>
        </is>
      </c>
      <c r="E12" s="92">
        <f>'ฝั่งใน (Inner)'!D13</f>
        <v/>
      </c>
      <c r="F12" s="93">
        <f>'ฝั่งใน (Inner)'!E13</f>
        <v/>
      </c>
      <c r="G12" s="93">
        <f>'ฝั่งใน (Inner)'!F13</f>
        <v/>
      </c>
      <c r="H12" s="94" t="inlineStr">
        <is>
          <t>ยังไม่ทำ</t>
        </is>
      </c>
      <c r="I12" s="88" t="inlineStr">
        <is>
          <t>ยังไม่มี</t>
        </is>
      </c>
      <c r="J12" s="95" t="inlineStr"/>
      <c r="K12" s="96" t="inlineStr"/>
      <c r="L12" s="97" t="inlineStr">
        <is>
          <t>แผ่นกั้นตรง</t>
        </is>
      </c>
    </row>
    <row r="13" ht="22" customHeight="1" s="49">
      <c r="A13" s="88" t="n">
        <v>3</v>
      </c>
      <c r="B13" s="89" t="inlineStr">
        <is>
          <t>ฝั่งใน (Inner)</t>
        </is>
      </c>
      <c r="C13" s="90" t="inlineStr">
        <is>
          <t>Partition-Inner-Box-1-st</t>
        </is>
      </c>
      <c r="D13" s="91" t="inlineStr">
        <is>
          <t>กล่อง/โครงกั้นภายใน 1</t>
        </is>
      </c>
      <c r="E13" s="92">
        <f>'ฝั่งใน (Inner)'!D14</f>
        <v/>
      </c>
      <c r="F13" s="93">
        <f>'ฝั่งใน (Inner)'!E14</f>
        <v/>
      </c>
      <c r="G13" s="93">
        <f>'ฝั่งใน (Inner)'!F14</f>
        <v/>
      </c>
      <c r="H13" s="94" t="inlineStr">
        <is>
          <t>ยังไม่ทำ</t>
        </is>
      </c>
      <c r="I13" s="88" t="inlineStr">
        <is>
          <t>ยังไม่มี</t>
        </is>
      </c>
      <c r="J13" s="95" t="inlineStr"/>
      <c r="K13" s="96" t="inlineStr"/>
      <c r="L13" s="97" t="inlineStr">
        <is>
          <t>พับขึ้นรูปกล่อง เช็ค Blank Size</t>
        </is>
      </c>
    </row>
    <row r="14" ht="22" customHeight="1" s="49">
      <c r="A14" s="88" t="n">
        <v>4</v>
      </c>
      <c r="B14" s="89" t="inlineStr">
        <is>
          <t>ฝั่งใน (Inner)</t>
        </is>
      </c>
      <c r="C14" s="90" t="inlineStr">
        <is>
          <t>Partition-Inner 2-st</t>
        </is>
      </c>
      <c r="D14" s="91" t="inlineStr">
        <is>
          <t>แผ่นกั้นภายในตู้ 2</t>
        </is>
      </c>
      <c r="E14" s="92">
        <f>'ฝั่งใน (Inner)'!D15</f>
        <v/>
      </c>
      <c r="F14" s="93">
        <f>'ฝั่งใน (Inner)'!E15</f>
        <v/>
      </c>
      <c r="G14" s="93">
        <f>'ฝั่งใน (Inner)'!F15</f>
        <v/>
      </c>
      <c r="H14" s="94" t="inlineStr">
        <is>
          <t>ยังไม่ทำ</t>
        </is>
      </c>
      <c r="I14" s="88" t="inlineStr">
        <is>
          <t>ยังไม่มี</t>
        </is>
      </c>
      <c r="J14" s="95" t="inlineStr"/>
      <c r="K14" s="96" t="inlineStr"/>
      <c r="L14" s="97" t="inlineStr">
        <is>
          <t>แผ่นกั้นตรง</t>
        </is>
      </c>
    </row>
    <row r="15" ht="22" customHeight="1" s="49">
      <c r="A15" s="88" t="n">
        <v>5</v>
      </c>
      <c r="B15" s="89" t="inlineStr">
        <is>
          <t>ฝั่งใน (Inner)</t>
        </is>
      </c>
      <c r="C15" s="90" t="inlineStr">
        <is>
          <t>Door Right-Inner 1-Bending-st</t>
        </is>
      </c>
      <c r="D15" s="91" t="inlineStr">
        <is>
          <t>ฝาในประตูขวา พับ 1 (ซับใน)</t>
        </is>
      </c>
      <c r="E15" s="92">
        <f>'ฝั่งใน (Inner)'!D16</f>
        <v/>
      </c>
      <c r="F15" s="93">
        <f>'ฝั่งใน (Inner)'!E16</f>
        <v/>
      </c>
      <c r="G15" s="93">
        <f>'ฝั่งใน (Inner)'!F16</f>
        <v/>
      </c>
      <c r="H15" s="94" t="inlineStr">
        <is>
          <t>ยังไม่ทำ</t>
        </is>
      </c>
      <c r="I15" s="88" t="inlineStr">
        <is>
          <t>ยังไม่มี</t>
        </is>
      </c>
      <c r="J15" s="95" t="inlineStr"/>
      <c r="K15" s="96" t="inlineStr"/>
      <c r="L15" s="97" t="inlineStr">
        <is>
          <t>ชิ้นงานพับขอบ Bending</t>
        </is>
      </c>
    </row>
    <row r="16" ht="22" customHeight="1" s="49">
      <c r="A16" s="88" t="n">
        <v>6</v>
      </c>
      <c r="B16" s="89" t="inlineStr">
        <is>
          <t>ฝั่งใน (Inner)</t>
        </is>
      </c>
      <c r="C16" s="90" t="inlineStr">
        <is>
          <t>Cover Back 2-Inner-Bending-st</t>
        </is>
      </c>
      <c r="D16" s="91" t="inlineStr">
        <is>
          <t>ฝาครอบหลังใน 2 พับ</t>
        </is>
      </c>
      <c r="E16" s="92">
        <f>'ฝั่งใน (Inner)'!D17</f>
        <v/>
      </c>
      <c r="F16" s="93">
        <f>'ฝั่งใน (Inner)'!E17</f>
        <v/>
      </c>
      <c r="G16" s="93">
        <f>'ฝั่งใน (Inner)'!F17</f>
        <v/>
      </c>
      <c r="H16" s="94" t="inlineStr">
        <is>
          <t>ยังไม่ทำ</t>
        </is>
      </c>
      <c r="I16" s="88" t="inlineStr">
        <is>
          <t>ยังไม่มี</t>
        </is>
      </c>
      <c r="J16" s="95" t="inlineStr"/>
      <c r="K16" s="96" t="inlineStr"/>
      <c r="L16" s="97" t="inlineStr">
        <is>
          <t>ชิ้นงานพับขอบ Bending</t>
        </is>
      </c>
    </row>
    <row r="17" ht="22" customHeight="1" s="49">
      <c r="A17" s="88" t="n">
        <v>7</v>
      </c>
      <c r="B17" s="89" t="inlineStr">
        <is>
          <t>ฝั่งใน (Inner)</t>
        </is>
      </c>
      <c r="C17" s="90" t="inlineStr">
        <is>
          <t>Cover Back 1-Inner-Bending-st</t>
        </is>
      </c>
      <c r="D17" s="91" t="inlineStr">
        <is>
          <t>ฝาครอบหลังใน 1 พับ</t>
        </is>
      </c>
      <c r="E17" s="92">
        <f>'ฝั่งใน (Inner)'!D18</f>
        <v/>
      </c>
      <c r="F17" s="93">
        <f>'ฝั่งใน (Inner)'!E18</f>
        <v/>
      </c>
      <c r="G17" s="93">
        <f>'ฝั่งใน (Inner)'!F18</f>
        <v/>
      </c>
      <c r="H17" s="94" t="inlineStr">
        <is>
          <t>ยังไม่ทำ</t>
        </is>
      </c>
      <c r="I17" s="88" t="inlineStr">
        <is>
          <t>ยังไม่มี</t>
        </is>
      </c>
      <c r="J17" s="95" t="inlineStr"/>
      <c r="K17" s="96" t="inlineStr"/>
      <c r="L17" s="97" t="inlineStr">
        <is>
          <t>ชิ้นงานพับขอบ Bending</t>
        </is>
      </c>
    </row>
    <row r="18" ht="22" customHeight="1" s="49">
      <c r="A18" s="88" t="n">
        <v>8</v>
      </c>
      <c r="B18" s="89" t="inlineStr">
        <is>
          <t>ฝั่งใน (Inner)</t>
        </is>
      </c>
      <c r="C18" s="90" t="inlineStr">
        <is>
          <t>Door left-inner-Bending-st</t>
        </is>
      </c>
      <c r="D18" s="91" t="inlineStr">
        <is>
          <t>ฝาในประตูซ้าย พับ (ซับใน)</t>
        </is>
      </c>
      <c r="E18" s="92">
        <f>'ฝั่งใน (Inner)'!D19</f>
        <v/>
      </c>
      <c r="F18" s="93">
        <f>'ฝั่งใน (Inner)'!E19</f>
        <v/>
      </c>
      <c r="G18" s="93">
        <f>'ฝั่งใน (Inner)'!F19</f>
        <v/>
      </c>
      <c r="H18" s="98" t="inlineStr">
        <is>
          <t>เสร็จแล้ว</t>
        </is>
      </c>
      <c r="I18" s="88" t="inlineStr">
        <is>
          <t>มีแล้ว</t>
        </is>
      </c>
      <c r="J18" s="95" t="inlineStr">
        <is>
          <t>Door left-inner-Bending-st.SLDDRW</t>
        </is>
      </c>
      <c r="K18" s="96" t="inlineStr">
        <is>
          <t>28-Sep-2026</t>
        </is>
      </c>
      <c r="L18" s="97" t="inlineStr">
        <is>
          <t>พบไฟล์ .SLDDRW และ .pdf ใน Model</t>
        </is>
      </c>
    </row>
    <row r="19" ht="22" customHeight="1" s="49">
      <c r="A19" s="88" t="n">
        <v>9</v>
      </c>
      <c r="B19" s="89" t="inlineStr">
        <is>
          <t>ฝั่งใน (Inner)</t>
        </is>
      </c>
      <c r="C19" s="90" t="inlineStr">
        <is>
          <t>Door left-inner-Bending</t>
        </is>
      </c>
      <c r="D19" s="91" t="inlineStr">
        <is>
          <t>ฝาในประตูซ้าย พับ</t>
        </is>
      </c>
      <c r="E19" s="92" t="n">
        <v>1</v>
      </c>
      <c r="F19" s="93" t="n">
        <v>512</v>
      </c>
      <c r="G19" s="93" t="n">
        <v>1750</v>
      </c>
      <c r="H19" s="94" t="inlineStr">
        <is>
          <t>ยังไม่ทำ</t>
        </is>
      </c>
      <c r="I19" s="88" t="inlineStr">
        <is>
          <t>ยังไม่มี</t>
        </is>
      </c>
      <c r="J19" s="95" t="inlineStr"/>
      <c r="K19" s="96" t="inlineStr"/>
      <c r="L19" s="97" t="inlineStr">
        <is>
          <t>ชิ้นงานพับขอบ Bending</t>
        </is>
      </c>
    </row>
    <row r="20" ht="22" customHeight="1" s="49">
      <c r="A20" s="88" t="n">
        <v>10</v>
      </c>
      <c r="B20" s="99" t="inlineStr">
        <is>
          <t>ฝั่งนอก (Outer)</t>
        </is>
      </c>
      <c r="C20" s="90" t="inlineStr">
        <is>
          <t>Cover top-Bending-st-2psc</t>
        </is>
      </c>
      <c r="D20" s="91" t="inlineStr">
        <is>
          <t>ฝาครอบบน (พับขึ้นรูป)</t>
        </is>
      </c>
      <c r="E20" s="92">
        <f>'ฝั่งนอก (Outer)'!D12</f>
        <v/>
      </c>
      <c r="F20" s="93">
        <f>'ฝั่งนอก (Outer)'!E12</f>
        <v/>
      </c>
      <c r="G20" s="93">
        <f>'ฝั่งนอก (Outer)'!F12</f>
        <v/>
      </c>
      <c r="H20" s="94" t="inlineStr">
        <is>
          <t>ยังไม่ทำ</t>
        </is>
      </c>
      <c r="I20" s="88" t="inlineStr">
        <is>
          <t>ยังไม่มี</t>
        </is>
      </c>
      <c r="J20" s="95" t="inlineStr"/>
      <c r="K20" s="96" t="inlineStr"/>
      <c r="L20" s="97" t="inlineStr">
        <is>
          <t>มี 2 ชิ้น (2psc) / พับขอบ</t>
        </is>
      </c>
    </row>
    <row r="21" ht="22" customHeight="1" s="49">
      <c r="A21" s="88" t="n">
        <v>11</v>
      </c>
      <c r="B21" s="99" t="inlineStr">
        <is>
          <t>ฝั่งนอก (Outer)</t>
        </is>
      </c>
      <c r="C21" s="90" t="inlineStr">
        <is>
          <t>Cover Back 1-Bending-st-2psc</t>
        </is>
      </c>
      <c r="D21" s="91" t="inlineStr">
        <is>
          <t>ฝาครอบหลัง 1 (พับขึ้นรูป)</t>
        </is>
      </c>
      <c r="E21" s="92">
        <f>'ฝั่งนอก (Outer)'!D13</f>
        <v/>
      </c>
      <c r="F21" s="93">
        <f>'ฝั่งนอก (Outer)'!E13</f>
        <v/>
      </c>
      <c r="G21" s="93">
        <f>'ฝั่งนอก (Outer)'!F13</f>
        <v/>
      </c>
      <c r="H21" s="94" t="inlineStr">
        <is>
          <t>ยังไม่ทำ</t>
        </is>
      </c>
      <c r="I21" s="88" t="inlineStr">
        <is>
          <t>ยังไม่มี</t>
        </is>
      </c>
      <c r="J21" s="95" t="inlineStr"/>
      <c r="K21" s="96" t="inlineStr"/>
      <c r="L21" s="97" t="inlineStr">
        <is>
          <t>มี 2 ชิ้น (2psc) / พับขอบ</t>
        </is>
      </c>
    </row>
    <row r="22" ht="22" customHeight="1" s="49">
      <c r="A22" s="88" t="n">
        <v>12</v>
      </c>
      <c r="B22" s="99" t="inlineStr">
        <is>
          <t>ฝั่งนอก (Outer)</t>
        </is>
      </c>
      <c r="C22" s="90" t="inlineStr">
        <is>
          <t>Door left-Bending-st</t>
        </is>
      </c>
      <c r="D22" s="91" t="inlineStr">
        <is>
          <t>ฝาประตูซ้ายนอก (พับขึ้นรูป)</t>
        </is>
      </c>
      <c r="E22" s="92">
        <f>'ฝั่งนอก (Outer)'!D14</f>
        <v/>
      </c>
      <c r="F22" s="93">
        <f>'ฝั่งนอก (Outer)'!E14</f>
        <v/>
      </c>
      <c r="G22" s="93">
        <f>'ฝั่งนอก (Outer)'!F14</f>
        <v/>
      </c>
      <c r="H22" s="94" t="inlineStr">
        <is>
          <t>ยังไม่ทำ</t>
        </is>
      </c>
      <c r="I22" s="88" t="inlineStr">
        <is>
          <t>ยังไม่มี</t>
        </is>
      </c>
      <c r="J22" s="95" t="inlineStr"/>
      <c r="K22" s="96" t="inlineStr"/>
      <c r="L22" s="97" t="inlineStr">
        <is>
          <t>ชิ้นงานพับขอบ Bending</t>
        </is>
      </c>
    </row>
    <row r="23" ht="22" customHeight="1" s="49">
      <c r="A23" s="88" t="n">
        <v>13</v>
      </c>
      <c r="B23" s="99" t="inlineStr">
        <is>
          <t>ฝั่งนอก (Outer)</t>
        </is>
      </c>
      <c r="C23" s="90" t="inlineStr">
        <is>
          <t>Cover Left Side-Bending-st</t>
        </is>
      </c>
      <c r="D23" s="91" t="inlineStr">
        <is>
          <t>ฝาครอบข้างซ้าย (พับขึ้นรูป)</t>
        </is>
      </c>
      <c r="E23" s="92">
        <f>'ฝั่งนอก (Outer)'!D15</f>
        <v/>
      </c>
      <c r="F23" s="93">
        <f>'ฝั่งนอก (Outer)'!E15</f>
        <v/>
      </c>
      <c r="G23" s="93">
        <f>'ฝั่งนอก (Outer)'!F15</f>
        <v/>
      </c>
      <c r="H23" s="94" t="inlineStr">
        <is>
          <t>ยังไม่ทำ</t>
        </is>
      </c>
      <c r="I23" s="88" t="inlineStr">
        <is>
          <t>ยังไม่มี</t>
        </is>
      </c>
      <c r="J23" s="95" t="inlineStr"/>
      <c r="K23" s="96" t="inlineStr"/>
      <c r="L23" s="97" t="inlineStr">
        <is>
          <t>ชิ้นงานพับขอบ Bending</t>
        </is>
      </c>
    </row>
    <row r="24" ht="22" customHeight="1" s="49">
      <c r="A24" s="88" t="n">
        <v>14</v>
      </c>
      <c r="B24" s="99" t="inlineStr">
        <is>
          <t>ฝั่งนอก (Outer)</t>
        </is>
      </c>
      <c r="C24" s="90" t="inlineStr">
        <is>
          <t>Cover Left Side 2-Bending-st</t>
        </is>
      </c>
      <c r="D24" s="91" t="inlineStr">
        <is>
          <t>ฝาครอบข้างซ้าย 2 (พับขึ้นรูป)</t>
        </is>
      </c>
      <c r="E24" s="92">
        <f>'ฝั่งนอก (Outer)'!D16</f>
        <v/>
      </c>
      <c r="F24" s="93">
        <f>'ฝั่งนอก (Outer)'!E16</f>
        <v/>
      </c>
      <c r="G24" s="93">
        <f>'ฝั่งนอก (Outer)'!F16</f>
        <v/>
      </c>
      <c r="H24" s="94" t="inlineStr">
        <is>
          <t>ยังไม่ทำ</t>
        </is>
      </c>
      <c r="I24" s="88" t="inlineStr">
        <is>
          <t>ยังไม่มี</t>
        </is>
      </c>
      <c r="J24" s="95" t="inlineStr"/>
      <c r="K24" s="96" t="inlineStr"/>
      <c r="L24" s="97" t="inlineStr">
        <is>
          <t>ชิ้นงานพับขอบ Bending</t>
        </is>
      </c>
    </row>
    <row r="25" ht="22" customHeight="1" s="49">
      <c r="A25" s="88" t="n">
        <v>15</v>
      </c>
      <c r="B25" s="99" t="inlineStr">
        <is>
          <t>ฝั่งนอก (Outer)</t>
        </is>
      </c>
      <c r="C25" s="90" t="inlineStr">
        <is>
          <t>Cover Front 1-Bending-st</t>
        </is>
      </c>
      <c r="D25" s="91" t="inlineStr">
        <is>
          <t>ฝาครอบหน้า 1 (พับขึ้นรูป)</t>
        </is>
      </c>
      <c r="E25" s="92">
        <f>'ฝั่งนอก (Outer)'!D17</f>
        <v/>
      </c>
      <c r="F25" s="93">
        <f>'ฝั่งนอก (Outer)'!E17</f>
        <v/>
      </c>
      <c r="G25" s="93">
        <f>'ฝั่งนอก (Outer)'!F17</f>
        <v/>
      </c>
      <c r="H25" s="94" t="inlineStr">
        <is>
          <t>ยังไม่ทำ</t>
        </is>
      </c>
      <c r="I25" s="88" t="inlineStr">
        <is>
          <t>ยังไม่มี</t>
        </is>
      </c>
      <c r="J25" s="95" t="inlineStr"/>
      <c r="K25" s="96" t="inlineStr"/>
      <c r="L25" s="97" t="inlineStr">
        <is>
          <t>ชิ้นงานพับขอบ Bending</t>
        </is>
      </c>
    </row>
    <row r="26" ht="22" customHeight="1" s="49">
      <c r="A26" s="88" t="n">
        <v>16</v>
      </c>
      <c r="B26" s="99" t="inlineStr">
        <is>
          <t>ฝั่งนอก (Outer)</t>
        </is>
      </c>
      <c r="C26" s="90" t="inlineStr">
        <is>
          <t>Cover Front 2-Bending-st</t>
        </is>
      </c>
      <c r="D26" s="91" t="inlineStr">
        <is>
          <t>ฝาครอบหน้า 2 (พับขึ้นรูป)</t>
        </is>
      </c>
      <c r="E26" s="92">
        <f>'ฝั่งนอก (Outer)'!D18</f>
        <v/>
      </c>
      <c r="F26" s="93">
        <f>'ฝั่งนอก (Outer)'!E18</f>
        <v/>
      </c>
      <c r="G26" s="93">
        <f>'ฝั่งนอก (Outer)'!F18</f>
        <v/>
      </c>
      <c r="H26" s="94" t="inlineStr">
        <is>
          <t>ยังไม่ทำ</t>
        </is>
      </c>
      <c r="I26" s="88" t="inlineStr">
        <is>
          <t>ยังไม่มี</t>
        </is>
      </c>
      <c r="J26" s="95" t="inlineStr"/>
      <c r="K26" s="96" t="inlineStr"/>
      <c r="L26" s="97" t="inlineStr">
        <is>
          <t>ชิ้นงานพับขอบ Bending</t>
        </is>
      </c>
    </row>
    <row r="27" ht="22" customHeight="1" s="49">
      <c r="A27" s="88" t="n">
        <v>17</v>
      </c>
      <c r="B27" s="99" t="inlineStr">
        <is>
          <t>ฝั่งนอก (Outer)</t>
        </is>
      </c>
      <c r="C27" s="90" t="inlineStr">
        <is>
          <t>Cover Right Side 1-Bending-st</t>
        </is>
      </c>
      <c r="D27" s="91" t="inlineStr">
        <is>
          <t>ฝาครอบข้างขวา 1 (พับขึ้นรูป)</t>
        </is>
      </c>
      <c r="E27" s="92">
        <f>'ฝั่งนอก (Outer)'!D19</f>
        <v/>
      </c>
      <c r="F27" s="93">
        <f>'ฝั่งนอก (Outer)'!E19</f>
        <v/>
      </c>
      <c r="G27" s="93">
        <f>'ฝั่งนอก (Outer)'!F19</f>
        <v/>
      </c>
      <c r="H27" s="94" t="inlineStr">
        <is>
          <t>ยังไม่ทำ</t>
        </is>
      </c>
      <c r="I27" s="88" t="inlineStr">
        <is>
          <t>ยังไม่มี</t>
        </is>
      </c>
      <c r="J27" s="95" t="inlineStr"/>
      <c r="K27" s="96" t="inlineStr"/>
      <c r="L27" s="97" t="inlineStr">
        <is>
          <t>ชิ้นงานพับขอบ Bending</t>
        </is>
      </c>
    </row>
    <row r="28" ht="22" customHeight="1" s="49">
      <c r="A28" s="88" t="n">
        <v>18</v>
      </c>
      <c r="B28" s="99" t="inlineStr">
        <is>
          <t>ฝั่งนอก (Outer)</t>
        </is>
      </c>
      <c r="C28" s="90" t="inlineStr">
        <is>
          <t>Cover Right Side 2-Bending-st</t>
        </is>
      </c>
      <c r="D28" s="91" t="inlineStr">
        <is>
          <t>ฝาครอบข้างขวา 2 (พับขึ้นรูป)</t>
        </is>
      </c>
      <c r="E28" s="92">
        <f>'ฝั่งนอก (Outer)'!D20</f>
        <v/>
      </c>
      <c r="F28" s="93">
        <f>'ฝั่งนอก (Outer)'!E20</f>
        <v/>
      </c>
      <c r="G28" s="93">
        <f>'ฝั่งนอก (Outer)'!F20</f>
        <v/>
      </c>
      <c r="H28" s="94" t="inlineStr">
        <is>
          <t>ยังไม่ทำ</t>
        </is>
      </c>
      <c r="I28" s="88" t="inlineStr">
        <is>
          <t>ยังไม่มี</t>
        </is>
      </c>
      <c r="J28" s="95" t="inlineStr"/>
      <c r="K28" s="96" t="inlineStr"/>
      <c r="L28" s="97" t="inlineStr">
        <is>
          <t>ชิ้นงานพับขอบ Bending</t>
        </is>
      </c>
    </row>
    <row r="29" ht="22" customHeight="1" s="49">
      <c r="A29" s="88" t="n">
        <v>19</v>
      </c>
      <c r="B29" s="100" t="inlineStr">
        <is>
          <t>อะคริลิก (Acrylic)</t>
        </is>
      </c>
      <c r="C29" s="90" t="inlineStr">
        <is>
          <t>Arcylic Cover Front 2-st</t>
        </is>
      </c>
      <c r="D29" s="91" t="inlineStr">
        <is>
          <t>ฝาครอบหน้า 2 (อะคริลิกใส/ป้ายไฟ)</t>
        </is>
      </c>
      <c r="E29" s="92">
        <f>'อะคริลิก (Acrylic)'!D12</f>
        <v/>
      </c>
      <c r="F29" s="93">
        <f>'อะคริลิก (Acrylic)'!E12</f>
        <v/>
      </c>
      <c r="G29" s="93">
        <f>'อะคริลิก (Acrylic)'!F12</f>
        <v/>
      </c>
      <c r="H29" s="94" t="inlineStr">
        <is>
          <t>ยังไม่ทำ</t>
        </is>
      </c>
      <c r="I29" s="88" t="inlineStr">
        <is>
          <t>ยังไม่มี</t>
        </is>
      </c>
      <c r="J29" s="95" t="inlineStr"/>
      <c r="K29" s="96" t="inlineStr"/>
      <c r="L29" s="97" t="inlineStr">
        <is>
          <t>ตัดเลเซอร์ Laser Cut / ขัดขอบ</t>
        </is>
      </c>
    </row>
    <row r="30" ht="22" customHeight="1" s="49">
      <c r="A30" s="88" t="n">
        <v>20</v>
      </c>
      <c r="B30" s="100" t="inlineStr">
        <is>
          <t>อะคริลิก (Acrylic)</t>
        </is>
      </c>
      <c r="C30" s="90" t="inlineStr">
        <is>
          <t>Arcylic Cover Front-st</t>
        </is>
      </c>
      <c r="D30" s="91" t="inlineStr">
        <is>
          <t>ฝาครอบหน้า (อะคริลิกใส/ช่องมอง)</t>
        </is>
      </c>
      <c r="E30" s="92">
        <f>'อะคริลิก (Acrylic)'!D13</f>
        <v/>
      </c>
      <c r="F30" s="93">
        <f>'อะคริลิก (Acrylic)'!E13</f>
        <v/>
      </c>
      <c r="G30" s="93">
        <f>'อะคริลิก (Acrylic)'!F13</f>
        <v/>
      </c>
      <c r="H30" s="94" t="inlineStr">
        <is>
          <t>ยังไม่ทำ</t>
        </is>
      </c>
      <c r="I30" s="88" t="inlineStr">
        <is>
          <t>ยังไม่มี</t>
        </is>
      </c>
      <c r="J30" s="95" t="inlineStr"/>
      <c r="K30" s="96" t="inlineStr"/>
      <c r="L30" s="97" t="inlineStr">
        <is>
          <t>ตัดเลเซอร์ Laser Cut / ขัดขอบ</t>
        </is>
      </c>
    </row>
    <row r="31" ht="22" customHeight="1" s="49">
      <c r="A31" s="88" t="n">
        <v>21</v>
      </c>
      <c r="B31" s="100" t="inlineStr">
        <is>
          <t>อะคริลิก (Acrylic)</t>
        </is>
      </c>
      <c r="C31" s="90" t="inlineStr">
        <is>
          <t>Arcylic Cover Right -side-st</t>
        </is>
      </c>
      <c r="D31" s="91" t="inlineStr">
        <is>
          <t>ฝาครอบข้างขวา (อะคริลิกใส/แสดงผล)</t>
        </is>
      </c>
      <c r="E31" s="92">
        <f>'อะคริลิก (Acrylic)'!D14</f>
        <v/>
      </c>
      <c r="F31" s="93">
        <f>'อะคริลิก (Acrylic)'!E14</f>
        <v/>
      </c>
      <c r="G31" s="93">
        <f>'อะคริลิก (Acrylic)'!F14</f>
        <v/>
      </c>
      <c r="H31" s="98" t="inlineStr">
        <is>
          <t>เสร็จแล้ว</t>
        </is>
      </c>
      <c r="I31" s="88" t="inlineStr">
        <is>
          <t>มีแล้ว</t>
        </is>
      </c>
      <c r="J31" s="95" t="inlineStr">
        <is>
          <t>NAR2093-0413A</t>
        </is>
      </c>
      <c r="K31" s="96" t="inlineStr">
        <is>
          <t>28-Sep-2026</t>
        </is>
      </c>
      <c r="L31" s="97" t="inlineStr">
        <is>
          <t>พบไฟล์ Flatten.pdf ใน Drawing</t>
        </is>
      </c>
    </row>
    <row r="33">
      <c r="A33" s="101" t="inlineStr">
        <is>
          <t>💡 คำแนะนำในการใช้งานตารางเช็ค Drawing (Drawing Checklist Instructions)</t>
        </is>
      </c>
    </row>
    <row r="34">
      <c r="A34" s="69" t="inlineStr">
        <is>
          <t>1. คอลัมน์ 'สถานะ Drawing 2D' (H) สามารถคลิกเลือกจาก Dropdown ได้: 'เสร็จแล้ว', 'กำลังทำ', 'ยังไม่ทำ', 'รอเช็คขนาด'</t>
        </is>
      </c>
    </row>
    <row r="35">
      <c r="A35" s="69" t="inlineStr">
        <is>
          <t>2. คอลัมน์ 'แบบคลี่ตัด (Flatten / DXF)' (I) ใช้เช็คว่ามีการ Export แบบคลี่ Blank Size สำหรับส่งเครื่องตัด CNC Laser/Router แล้วหรือยัง</t>
        </is>
      </c>
    </row>
    <row r="36">
      <c r="A36" s="69" t="inlineStr">
        <is>
          <t>3. ขนาดกว้างคลี่ (W) และยาวคลี่ (L) ลิงก์ตรงกับแท็บ 'ฝั่งใน', 'ฝั่งนอก', และ 'อะคริลิก' อัตโนมัติ (แก้ไขที่แท็บต้นทางแล้วค่าจะเปลี่ยนตาม)</t>
        </is>
      </c>
    </row>
    <row r="37">
      <c r="A37" s="69" t="inlineStr">
        <is>
          <t>4. การ์ดสรุป KPI ด้านบนจะคำนวณจำนวนชิ้นงานที่ทำเสร็จแล้ว และเปอร์เซ็นต์ความคืบหน้า (Overall Progress %) ให้แบบ Real-time</t>
        </is>
      </c>
    </row>
    <row r="38">
      <c r="A38" s="69" t="inlineStr">
        <is>
          <t>5. ชิ้นส่วนที่ตรวจพบไฟล์แบบในเครื่องแล้ว: 'Door left-inner-Bending-st' (.SLDDRW) และ 'Arcylic Cover Right -side-st' (NAR2093-0413A) ถูกตั้งค่าเริ่มต้นเป็น 'เสร็จแล้ว'</t>
        </is>
      </c>
    </row>
  </sheetData>
  <mergeCells count="16">
    <mergeCell ref="A38:L38"/>
    <mergeCell ref="A2:L2"/>
    <mergeCell ref="E4:F4"/>
    <mergeCell ref="E5:F7"/>
    <mergeCell ref="K5:L7"/>
    <mergeCell ref="H5:I7"/>
    <mergeCell ref="A33:L33"/>
    <mergeCell ref="A1:L1"/>
    <mergeCell ref="A37:L37"/>
    <mergeCell ref="A34:L34"/>
    <mergeCell ref="B5:C7"/>
    <mergeCell ref="A36:L36"/>
    <mergeCell ref="H4:I4"/>
    <mergeCell ref="K4:L4"/>
    <mergeCell ref="B4:C4"/>
    <mergeCell ref="A35:L35"/>
  </mergeCells>
  <dataValidations count="2">
    <dataValidation sqref="H11 H12 H13 H14 H15 H16 H17 H18 H19 H20 H21 H22 H23 H24 H25 H26 H27 H28 H29 H30 H31" showDropDown="0" showInputMessage="0" showErrorMessage="0" allowBlank="1" errorTitle="สถานะไม่ถูกต้อง" error="กรุณาเลือกสถานะจากรายการที่กำหนด" promptTitle="Drawing Status" prompt="เลือกสถานะการทำ Drawing" type="list">
      <formula1>"เสร็จแล้ว,กำลังทำ,ยังไม่ทำ,รอเช็คขนาด"</formula1>
    </dataValidation>
    <dataValidation sqref="I11 I12 I13 I14 I15 I16 I17 I18 I19 I20 I21 I22 I23 I24 I25 I26 I27 I28 I29 I30 I31" showDropDown="0" showInputMessage="0" showErrorMessage="0" allowBlank="1" type="list">
      <formula1>"มีแล้ว,ยังไม่มี,ไม่ต้องมี"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I12" sqref="I12"/>
    </sheetView>
  </sheetViews>
  <sheetFormatPr baseColWidth="8" defaultRowHeight="15"/>
  <cols>
    <col width="7" customWidth="1" style="49" min="1" max="1"/>
    <col width="32" customWidth="1" style="49" min="2" max="2"/>
    <col width="28" customWidth="1" style="49" min="3" max="3"/>
    <col width="12" customWidth="1" style="49" min="4" max="4"/>
    <col width="15" customWidth="1" style="49" min="5" max="6"/>
    <col width="16" customWidth="1" style="49" min="7" max="7"/>
    <col width="15" customWidth="1" style="49" min="8" max="8"/>
    <col width="28" customWidth="1" style="49" min="9" max="9"/>
    <col width="14" customWidth="1" style="49" min="10" max="10"/>
  </cols>
  <sheetData>
    <row r="1" ht="26.1" customHeight="1" s="49">
      <c r="A1" s="56" t="inlineStr">
        <is>
          <t>ตารางคำนวณแผ่นคอมโพสิต - ชิ้นส่วนฝั่งนอก (Outer Parts)</t>
        </is>
      </c>
    </row>
    <row r="2" ht="18" customHeight="1" s="49">
      <c r="A2" s="59" t="inlineStr">
        <is>
          <t>รายการชิ้นส่วนจาก SOLIDWORKS: ฝาบน, ฝาหลัง, ฝาข้าง, ประตู และฝาหน้า (เฉพาะแผ่นคอมโพสิต)</t>
        </is>
      </c>
    </row>
    <row r="4" ht="16.5" customHeight="1" s="49">
      <c r="B4" s="58" t="inlineStr">
        <is>
          <t>⚙️ ข้อมูลแผ่นมาตรฐาน - คอมโพสิต (Standard Sheet Config)</t>
        </is>
      </c>
      <c r="F4" s="58" t="inlineStr">
        <is>
          <t>📊 ผลลัพธ์การคำนวณ (Calculation Summary)</t>
        </is>
      </c>
      <c r="I4" s="57" t="inlineStr">
        <is>
          <t>จำนวนแผ่น คอมโพสิต ที่ต้องใช้
(Recommended to Order)</t>
        </is>
      </c>
      <c r="J4" s="71" t="n"/>
    </row>
    <row r="5">
      <c r="B5" s="15" t="inlineStr">
        <is>
          <t>ความกว้างแผ่นมาตรฐาน (Sheet Width)</t>
        </is>
      </c>
      <c r="C5" s="16" t="n">
        <v>1220</v>
      </c>
      <c r="D5" s="17" t="inlineStr">
        <is>
          <t xml:space="preserve"> มม. (mm)</t>
        </is>
      </c>
      <c r="F5" s="18" t="inlineStr">
        <is>
          <t>จำนวนชิ้นงานทั้งหมด (Total Quantity)</t>
        </is>
      </c>
      <c r="G5" s="19">
        <f>SUM(D12:D23)</f>
        <v/>
      </c>
      <c r="H5" s="17" t="inlineStr">
        <is>
          <t>ชิ้น (pcs)</t>
        </is>
      </c>
      <c r="I5" s="72" t="n"/>
      <c r="J5" s="74" t="n"/>
    </row>
    <row r="6">
      <c r="B6" s="15" t="inlineStr">
        <is>
          <t>ความยาวแผ่นมาตรฐาน (Sheet Length)</t>
        </is>
      </c>
      <c r="C6" s="16" t="n">
        <v>2440</v>
      </c>
      <c r="D6" s="17" t="inlineStr">
        <is>
          <t xml:space="preserve"> มม. (mm)</t>
        </is>
      </c>
      <c r="F6" s="18" t="inlineStr">
        <is>
          <t>พื้นที่ชิ้นงานสุทธิ (Net Total Area)</t>
        </is>
      </c>
      <c r="G6" s="102">
        <f>SUM(G12:G23)</f>
        <v/>
      </c>
      <c r="H6" s="17" t="inlineStr">
        <is>
          <t>ตร.ม. (m²)</t>
        </is>
      </c>
      <c r="I6" s="52">
        <f>ROUNDUP(G8, 0)</f>
        <v/>
      </c>
      <c r="J6" s="71" t="n"/>
    </row>
    <row r="7">
      <c r="B7" s="15" t="inlineStr">
        <is>
          <t>พื้นที่ต่อ 1 แผ่นมาตรฐาน (Area/Sheet)</t>
        </is>
      </c>
      <c r="C7" s="103">
        <f>(C5*C6)/1000000</f>
        <v/>
      </c>
      <c r="D7" s="17" t="inlineStr">
        <is>
          <t xml:space="preserve"> ตร.ม. (m²)</t>
        </is>
      </c>
      <c r="F7" s="18" t="inlineStr">
        <is>
          <t>พื้นที่รวมเผื่อเศษตัด (Gross Area with Waste)</t>
        </is>
      </c>
      <c r="G7" s="102">
        <f>G6*(1+C8)</f>
        <v/>
      </c>
      <c r="H7" s="17" t="inlineStr">
        <is>
          <t>ตร.ม. (m²)</t>
        </is>
      </c>
      <c r="I7" s="75" t="n"/>
      <c r="J7" s="76" t="n"/>
    </row>
    <row r="8">
      <c r="B8" s="15" t="inlineStr">
        <is>
          <t>เผื่อเศษตัด/พับ/โครงสร้าง (Waste Factor)</t>
        </is>
      </c>
      <c r="C8" s="104" t="n">
        <v>0.15</v>
      </c>
      <c r="D8" s="17" t="inlineStr">
        <is>
          <t xml:space="preserve"> (15%)</t>
        </is>
      </c>
      <c r="F8" s="18" t="inlineStr">
        <is>
          <t>จำนวนแผ่นตามทฤษฎี (Theoretical Sheets)</t>
        </is>
      </c>
      <c r="G8" s="23">
        <f>G7/C7</f>
        <v/>
      </c>
      <c r="H8" s="17" t="inlineStr">
        <is>
          <t>แผ่น (sheets)</t>
        </is>
      </c>
      <c r="I8" s="72" t="n"/>
      <c r="J8" s="74" t="n"/>
    </row>
    <row r="11" ht="30" customHeight="1" s="49">
      <c r="A11" s="24" t="inlineStr">
        <is>
          <t>ลำดับ
No.</t>
        </is>
      </c>
      <c r="B11" s="24" t="inlineStr">
        <is>
          <t>รหัส / ชื่อชิ้นงาน (SOLIDWORKS)
Part Name</t>
        </is>
      </c>
      <c r="C11" s="24" t="inlineStr">
        <is>
          <t>ลักษณะชิ้นงาน / ตำแหน่ง
Description</t>
        </is>
      </c>
      <c r="D11" s="24" t="inlineStr">
        <is>
          <t>จำนวน
Qty (pcs)</t>
        </is>
      </c>
      <c r="E11" s="24" t="inlineStr">
        <is>
          <t>กว้างคลี่ (W)
Width (mm)</t>
        </is>
      </c>
      <c r="F11" s="24" t="inlineStr">
        <is>
          <t>ยาวคลี่ (L)
Length (mm)</t>
        </is>
      </c>
      <c r="G11" s="24" t="inlineStr">
        <is>
          <t>พื้นที่รวม
Total Area (m²)</t>
        </is>
      </c>
      <c r="H11" s="24" t="inlineStr">
        <is>
          <t>สัดส่วนต่อแผ่น
% of Sheet</t>
        </is>
      </c>
      <c r="I11" s="24" t="inlineStr">
        <is>
          <t>หมายเหตุการตัด / พับ / ติดตั้ง
Remarks &amp; Notes</t>
        </is>
      </c>
    </row>
    <row r="12" ht="21" customHeight="1" s="49">
      <c r="A12" s="25" t="n">
        <v>1</v>
      </c>
      <c r="B12" s="26" t="inlineStr">
        <is>
          <t>Cover top-Bending-st-2psc</t>
        </is>
      </c>
      <c r="C12" s="15" t="inlineStr">
        <is>
          <t>ฝาครอบบน (พับขึ้นรูป)</t>
        </is>
      </c>
      <c r="D12" s="27" t="n">
        <v>2</v>
      </c>
      <c r="E12" s="16" t="n">
        <v>800</v>
      </c>
      <c r="F12" s="16" t="n">
        <v>2370</v>
      </c>
      <c r="G12" s="102">
        <f>IF(AND(ISNUMBER(E12),ISNUMBER(F12),E12&gt;0,F12&gt;0), D12*(E12*F12)/1000000, 0)</f>
        <v/>
      </c>
      <c r="H12" s="105">
        <f>IF($C$7&gt;0, G12/$C$7, 0)</f>
        <v/>
      </c>
      <c r="I12" s="17" t="inlineStr">
        <is>
          <t>มี 2 ชิ้น (2psc) / พับขอบ Bending</t>
        </is>
      </c>
    </row>
    <row r="13" ht="21" customHeight="1" s="49">
      <c r="A13" s="25" t="n">
        <v>2</v>
      </c>
      <c r="B13" s="26" t="inlineStr">
        <is>
          <t>Cover Back 1-Bending-st-2psc</t>
        </is>
      </c>
      <c r="C13" s="15" t="inlineStr">
        <is>
          <t>ฝาครอบหลัง 1 (พับขึ้นรูป)</t>
        </is>
      </c>
      <c r="D13" s="27" t="n">
        <v>2</v>
      </c>
      <c r="E13" s="16" t="n">
        <v>1160</v>
      </c>
      <c r="F13" s="16" t="n">
        <v>2370</v>
      </c>
      <c r="G13" s="102">
        <f>IF(AND(ISNUMBER(E13),ISNUMBER(F13),E13&gt;0,F13&gt;0), D13*(E13*F13)/1000000, 0)</f>
        <v/>
      </c>
      <c r="H13" s="105">
        <f>IF($C$7&gt;0, G13/$C$7, 0)</f>
        <v/>
      </c>
      <c r="I13" s="17" t="inlineStr">
        <is>
          <t>มี 2 ชิ้น (2psc) / พับขอบ Bending</t>
        </is>
      </c>
    </row>
    <row r="14" ht="21" customHeight="1" s="49">
      <c r="A14" s="25" t="n">
        <v>3</v>
      </c>
      <c r="B14" s="26" t="inlineStr">
        <is>
          <t>Door left-Bending-st</t>
        </is>
      </c>
      <c r="C14" s="15" t="inlineStr">
        <is>
          <t>ฝาประตูซ้ายนอก (พับขึ้นรูป)</t>
        </is>
      </c>
      <c r="D14" s="27" t="n">
        <v>1</v>
      </c>
      <c r="E14" s="16" t="n">
        <v>914</v>
      </c>
      <c r="F14" s="16" t="n">
        <v>1839</v>
      </c>
      <c r="G14" s="102">
        <f>IF(AND(ISNUMBER(E14),ISNUMBER(F14),E14&gt;0,F14&gt;0), D14*(E14*F14)/1000000, 0)</f>
        <v/>
      </c>
      <c r="H14" s="105">
        <f>IF($C$7&gt;0, G14/$C$7, 0)</f>
        <v/>
      </c>
      <c r="I14" s="17" t="inlineStr">
        <is>
          <t>ชิ้นงานพับขอบ Bending</t>
        </is>
      </c>
    </row>
    <row r="15" ht="21" customHeight="1" s="49">
      <c r="A15" s="25" t="n">
        <v>4</v>
      </c>
      <c r="B15" s="26" t="inlineStr">
        <is>
          <t>Cover Left Side-Bending-st</t>
        </is>
      </c>
      <c r="C15" s="15" t="inlineStr">
        <is>
          <t>ฝาครอบข้างซ้าย (พับขึ้นรูป)</t>
        </is>
      </c>
      <c r="D15" s="27" t="n">
        <v>1</v>
      </c>
      <c r="E15" s="16" t="n">
        <v>490</v>
      </c>
      <c r="F15" s="16" t="n">
        <v>880</v>
      </c>
      <c r="G15" s="102">
        <f>IF(AND(ISNUMBER(E15),ISNUMBER(F15),E15&gt;0,F15&gt;0), D15*(E15*F15)/1000000, 0)</f>
        <v/>
      </c>
      <c r="H15" s="105">
        <f>IF($C$7&gt;0, G15/$C$7, 0)</f>
        <v/>
      </c>
      <c r="I15" s="17" t="inlineStr">
        <is>
          <t>ชิ้นงานพับขอบ Bending</t>
        </is>
      </c>
    </row>
    <row r="16" ht="21" customHeight="1" s="49">
      <c r="A16" s="25" t="n">
        <v>5</v>
      </c>
      <c r="B16" s="26" t="inlineStr">
        <is>
          <t>Cover Left Side 2-Bending-st</t>
        </is>
      </c>
      <c r="C16" s="15" t="inlineStr">
        <is>
          <t>ฝาครอบข้างซ้าย 2 (พับขึ้นรูป)</t>
        </is>
      </c>
      <c r="D16" s="27" t="n">
        <v>1</v>
      </c>
      <c r="E16" s="16" t="n">
        <v>645</v>
      </c>
      <c r="F16" s="16" t="n">
        <v>2290</v>
      </c>
      <c r="G16" s="102">
        <f>IF(AND(ISNUMBER(E16),ISNUMBER(F16),E16&gt;0,F16&gt;0), D16*(E16*F16)/1000000, 0)</f>
        <v/>
      </c>
      <c r="H16" s="105">
        <f>IF($C$7&gt;0, G16/$C$7, 0)</f>
        <v/>
      </c>
      <c r="I16" s="17" t="inlineStr">
        <is>
          <t>ชิ้นงานพับขอบ Bending</t>
        </is>
      </c>
    </row>
    <row r="17" ht="21" customHeight="1" s="49">
      <c r="A17" s="25" t="n">
        <v>6</v>
      </c>
      <c r="B17" s="26" t="inlineStr">
        <is>
          <t>Cover Front 1-Bending-st</t>
        </is>
      </c>
      <c r="C17" s="15" t="inlineStr">
        <is>
          <t>ฝาครอบหน้า 1 (พับขึ้นรูป)</t>
        </is>
      </c>
      <c r="D17" s="27" t="n">
        <v>1</v>
      </c>
      <c r="E17" s="16" t="n">
        <v>1120</v>
      </c>
      <c r="F17" s="16" t="n">
        <v>2370</v>
      </c>
      <c r="G17" s="102">
        <f>IF(AND(ISNUMBER(E17),ISNUMBER(F17),E17&gt;0,F17&gt;0), D17*(E17*F17)/1000000, 0)</f>
        <v/>
      </c>
      <c r="H17" s="105">
        <f>IF($C$7&gt;0, G17/$C$7, 0)</f>
        <v/>
      </c>
      <c r="I17" s="17" t="inlineStr">
        <is>
          <t>ชิ้นงานพับขอบ Bending</t>
        </is>
      </c>
    </row>
    <row r="18" ht="21" customHeight="1" s="49">
      <c r="A18" s="25" t="n">
        <v>7</v>
      </c>
      <c r="B18" s="26" t="inlineStr">
        <is>
          <t>Cover Front 2-Bending-st</t>
        </is>
      </c>
      <c r="C18" s="15" t="inlineStr">
        <is>
          <t>ฝาครอบหน้า 2 (พับขึ้นรูป)</t>
        </is>
      </c>
      <c r="D18" s="27" t="n">
        <v>1</v>
      </c>
      <c r="E18" s="16" t="n">
        <v>1120</v>
      </c>
      <c r="F18" s="16" t="n">
        <v>2370</v>
      </c>
      <c r="G18" s="102">
        <f>IF(AND(ISNUMBER(E18),ISNUMBER(F18),E18&gt;0,F18&gt;0), D18*(E18*F18)/1000000, 0)</f>
        <v/>
      </c>
      <c r="H18" s="105">
        <f>IF($C$7&gt;0, G18/$C$7, 0)</f>
        <v/>
      </c>
      <c r="I18" s="17" t="inlineStr">
        <is>
          <t>ชิ้นงานพับขอบ Bending</t>
        </is>
      </c>
    </row>
    <row r="19" ht="21" customHeight="1" s="49">
      <c r="A19" s="25" t="n">
        <v>8</v>
      </c>
      <c r="B19" s="26" t="inlineStr">
        <is>
          <t>Cover Right Side 1-Bending-st</t>
        </is>
      </c>
      <c r="C19" s="15" t="inlineStr">
        <is>
          <t>ฝาครอบข้างขวา 1 (พับขึ้นรูป)</t>
        </is>
      </c>
      <c r="D19" s="27" t="n">
        <v>1</v>
      </c>
      <c r="E19" s="16" t="n">
        <v>1003</v>
      </c>
      <c r="F19" s="16" t="n">
        <v>2370</v>
      </c>
      <c r="G19" s="102">
        <f>IF(AND(ISNUMBER(E19),ISNUMBER(F19),E19&gt;0,F19&gt;0), D19*(E19*F19)/1000000, 0)</f>
        <v/>
      </c>
      <c r="H19" s="105">
        <f>IF($C$7&gt;0, G19/$C$7, 0)</f>
        <v/>
      </c>
      <c r="I19" s="17" t="inlineStr">
        <is>
          <t>ชิ้นงานพับขอบ Bending</t>
        </is>
      </c>
    </row>
    <row r="20" ht="21" customHeight="1" s="49">
      <c r="A20" s="25" t="n">
        <v>9</v>
      </c>
      <c r="B20" s="26" t="inlineStr">
        <is>
          <t>Cover Right Side 2-Bending-st</t>
        </is>
      </c>
      <c r="C20" s="15" t="inlineStr">
        <is>
          <t>ฝาครอบข้างขวา 2 (พับขึ้นรูป)</t>
        </is>
      </c>
      <c r="D20" s="27" t="n">
        <v>1</v>
      </c>
      <c r="E20" s="16" t="n">
        <v>490</v>
      </c>
      <c r="F20" s="16" t="n">
        <v>517</v>
      </c>
      <c r="G20" s="102">
        <f>IF(AND(ISNUMBER(E20),ISNUMBER(F20),E20&gt;0,F20&gt;0), D20*(E20*F20)/1000000, 0)</f>
        <v/>
      </c>
      <c r="H20" s="105">
        <f>IF($C$7&gt;0, G20/$C$7, 0)</f>
        <v/>
      </c>
      <c r="I20" s="17" t="inlineStr">
        <is>
          <t>ชิ้นงานพับขอบ Bending</t>
        </is>
      </c>
    </row>
    <row r="21" ht="20.1" customHeight="1" s="49">
      <c r="A21" s="29" t="n">
        <v>10</v>
      </c>
      <c r="B21" s="17" t="inlineStr">
        <is>
          <t>สำรองชิ้นส่วนเพิ่มเติม 1 (Extra Part)</t>
        </is>
      </c>
      <c r="C21" s="17" t="inlineStr">
        <is>
          <t>-</t>
        </is>
      </c>
      <c r="D21" s="27" t="n">
        <v>0</v>
      </c>
      <c r="E21" s="16" t="n"/>
      <c r="F21" s="16" t="n"/>
      <c r="G21" s="102">
        <f>IF(AND(ISNUMBER(E21),ISNUMBER(F21),E21&gt;0,F21&gt;0), D21*(E21*F21)/1000000, 0)</f>
        <v/>
      </c>
      <c r="H21" s="105">
        <f>IF($C$7&gt;0, G21/$C$7, 0)</f>
        <v/>
      </c>
      <c r="I21" s="17" t="n"/>
    </row>
    <row r="22" ht="20.1" customHeight="1" s="49">
      <c r="A22" s="29" t="n">
        <v>11</v>
      </c>
      <c r="B22" s="17" t="inlineStr">
        <is>
          <t>สำรองชิ้นส่วนเพิ่มเติม 2 (Extra Part)</t>
        </is>
      </c>
      <c r="C22" s="17" t="inlineStr">
        <is>
          <t>-</t>
        </is>
      </c>
      <c r="D22" s="27" t="n">
        <v>0</v>
      </c>
      <c r="E22" s="16" t="n"/>
      <c r="F22" s="16" t="n"/>
      <c r="G22" s="102">
        <f>IF(AND(ISNUMBER(E22),ISNUMBER(F22),E22&gt;0,F22&gt;0), D22*(E22*F22)/1000000, 0)</f>
        <v/>
      </c>
      <c r="H22" s="105">
        <f>IF($C$7&gt;0, G22/$C$7, 0)</f>
        <v/>
      </c>
      <c r="I22" s="17" t="n"/>
    </row>
    <row r="23" ht="20.1" customHeight="1" s="49">
      <c r="A23" s="29" t="n">
        <v>12</v>
      </c>
      <c r="B23" s="17" t="inlineStr">
        <is>
          <t>สำรองชิ้นส่วนเพิ่มเติม 3 (Extra Part)</t>
        </is>
      </c>
      <c r="C23" s="17" t="inlineStr">
        <is>
          <t>-</t>
        </is>
      </c>
      <c r="D23" s="27" t="n">
        <v>0</v>
      </c>
      <c r="E23" s="16" t="n"/>
      <c r="F23" s="16" t="n"/>
      <c r="G23" s="102">
        <f>IF(AND(ISNUMBER(E23),ISNUMBER(F23),E23&gt;0,F23&gt;0), D23*(E23*F23)/1000000, 0)</f>
        <v/>
      </c>
      <c r="H23" s="105">
        <f>IF($C$7&gt;0, G23/$C$7, 0)</f>
        <v/>
      </c>
      <c r="I23" s="17" t="n"/>
    </row>
    <row r="24" ht="24" customHeight="1" s="49">
      <c r="A24" s="60" t="inlineStr">
        <is>
          <t>รวมทั้งหมด (Sub-Total)</t>
        </is>
      </c>
      <c r="B24" s="106" t="n"/>
      <c r="C24" s="107" t="n"/>
      <c r="D24" s="31">
        <f>SUM(D12:D23)</f>
        <v/>
      </c>
      <c r="E24" s="32" t="inlineStr">
        <is>
          <t>-</t>
        </is>
      </c>
      <c r="F24" s="32" t="inlineStr">
        <is>
          <t>-</t>
        </is>
      </c>
      <c r="G24" s="108">
        <f>SUM(G12:G23)</f>
        <v/>
      </c>
      <c r="H24" s="109">
        <f>SUM(H12:H23)</f>
        <v/>
      </c>
      <c r="I24" s="61" t="n"/>
    </row>
  </sheetData>
  <mergeCells count="7">
    <mergeCell ref="A1:J1"/>
    <mergeCell ref="I4:J5"/>
    <mergeCell ref="B4:D4"/>
    <mergeCell ref="F4:H4"/>
    <mergeCell ref="A2:J2"/>
    <mergeCell ref="I6:J8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F22" sqref="F22"/>
    </sheetView>
  </sheetViews>
  <sheetFormatPr baseColWidth="8" defaultRowHeight="15"/>
  <cols>
    <col width="7" customWidth="1" style="49" min="1" max="1"/>
    <col width="32" customWidth="1" style="49" min="2" max="2"/>
    <col width="28" customWidth="1" style="49" min="3" max="3"/>
    <col width="12" customWidth="1" style="49" min="4" max="4"/>
    <col width="15" customWidth="1" style="49" min="5" max="6"/>
    <col width="16" customWidth="1" style="49" min="7" max="7"/>
    <col width="15" customWidth="1" style="49" min="8" max="8"/>
    <col width="28" customWidth="1" style="49" min="9" max="9"/>
    <col width="14" customWidth="1" style="49" min="10" max="10"/>
  </cols>
  <sheetData>
    <row r="1" ht="26.1" customHeight="1" s="49">
      <c r="A1" s="56" t="inlineStr">
        <is>
          <t>ตารางคำนวณแผ่นคอมโพสิต - ชิ้นส่วนฝั่งใน (Inner Parts)</t>
        </is>
      </c>
    </row>
    <row r="2" ht="18" customHeight="1" s="49">
      <c r="A2" s="59" t="inlineStr">
        <is>
          <t>รายการชิ้นส่วนภายในตู้: แผ่นกั้น Partition, กล่องใน, ซับในประตู และฝาหลังใน</t>
        </is>
      </c>
    </row>
    <row r="4" ht="16.5" customHeight="1" s="49">
      <c r="B4" s="58" t="inlineStr">
        <is>
          <t>⚙️ ข้อมูลแผ่นมาตรฐาน - คอมโพสิต (Standard Sheet Config)</t>
        </is>
      </c>
      <c r="F4" s="58" t="inlineStr">
        <is>
          <t>📊 ผลลัพธ์การคำนวณ (Calculation Summary)</t>
        </is>
      </c>
      <c r="I4" s="62" t="inlineStr">
        <is>
          <t>จำนวนแผ่น คอมโพสิต ที่ต้องใช้
(Recommended to Order)</t>
        </is>
      </c>
      <c r="J4" s="71" t="n"/>
    </row>
    <row r="5">
      <c r="B5" s="15" t="inlineStr">
        <is>
          <t>ความกว้างแผ่นมาตรฐาน (Sheet Width)</t>
        </is>
      </c>
      <c r="C5" s="16" t="n">
        <v>1220</v>
      </c>
      <c r="D5" s="17" t="inlineStr">
        <is>
          <t xml:space="preserve"> มม. (mm)</t>
        </is>
      </c>
      <c r="F5" s="18" t="inlineStr">
        <is>
          <t>จำนวนชิ้นงานทั้งหมด (Total Quantity)</t>
        </is>
      </c>
      <c r="G5" s="19">
        <f>SUM(D12:D23)</f>
        <v/>
      </c>
      <c r="H5" s="17" t="inlineStr">
        <is>
          <t>ชิ้น (pcs)</t>
        </is>
      </c>
      <c r="I5" s="72" t="n"/>
      <c r="J5" s="74" t="n"/>
    </row>
    <row r="6">
      <c r="B6" s="15" t="inlineStr">
        <is>
          <t>ความยาวแผ่นมาตรฐาน (Sheet Length)</t>
        </is>
      </c>
      <c r="C6" s="16" t="n">
        <v>2440</v>
      </c>
      <c r="D6" s="17" t="inlineStr">
        <is>
          <t xml:space="preserve"> มม. (mm)</t>
        </is>
      </c>
      <c r="F6" s="18" t="inlineStr">
        <is>
          <t>พื้นที่ชิ้นงานสุทธิ (Net Total Area)</t>
        </is>
      </c>
      <c r="G6" s="102">
        <f>SUM(G12:G23)</f>
        <v/>
      </c>
      <c r="H6" s="17" t="inlineStr">
        <is>
          <t>ตร.ม. (m²)</t>
        </is>
      </c>
      <c r="I6" s="52">
        <f>ROUNDUP(G8, 0)</f>
        <v/>
      </c>
      <c r="J6" s="71" t="n"/>
    </row>
    <row r="7">
      <c r="B7" s="15" t="inlineStr">
        <is>
          <t>พื้นที่ต่อ 1 แผ่นมาตรฐาน (Area/Sheet)</t>
        </is>
      </c>
      <c r="C7" s="103">
        <f>(C5*C6)/1000000</f>
        <v/>
      </c>
      <c r="D7" s="17" t="inlineStr">
        <is>
          <t xml:space="preserve"> ตร.ม. (m²)</t>
        </is>
      </c>
      <c r="F7" s="18" t="inlineStr">
        <is>
          <t>พื้นที่รวมเผื่อเศษตัด (Gross Area with Waste)</t>
        </is>
      </c>
      <c r="G7" s="102">
        <f>G6*(1+C8)</f>
        <v/>
      </c>
      <c r="H7" s="17" t="inlineStr">
        <is>
          <t>ตร.ม. (m²)</t>
        </is>
      </c>
      <c r="I7" s="75" t="n"/>
      <c r="J7" s="76" t="n"/>
    </row>
    <row r="8">
      <c r="B8" s="15" t="inlineStr">
        <is>
          <t>เผื่อเศษตัด/พับ/โครงสร้าง (Waste Factor)</t>
        </is>
      </c>
      <c r="C8" s="104" t="n">
        <v>0.15</v>
      </c>
      <c r="D8" s="17" t="inlineStr">
        <is>
          <t xml:space="preserve"> (15%)</t>
        </is>
      </c>
      <c r="F8" s="18" t="inlineStr">
        <is>
          <t>จำนวนแผ่นตามทฤษฎี (Theoretical Sheets)</t>
        </is>
      </c>
      <c r="G8" s="23">
        <f>G7/C7</f>
        <v/>
      </c>
      <c r="H8" s="17" t="inlineStr">
        <is>
          <t>แผ่น (sheets)</t>
        </is>
      </c>
      <c r="I8" s="72" t="n"/>
      <c r="J8" s="74" t="n"/>
    </row>
    <row r="11" ht="30" customHeight="1" s="49">
      <c r="A11" s="35" t="inlineStr">
        <is>
          <t>ลำดับ
No.</t>
        </is>
      </c>
      <c r="B11" s="35" t="inlineStr">
        <is>
          <t>รหัส / ชื่อชิ้นงาน (SOLIDWORKS)
Part Name</t>
        </is>
      </c>
      <c r="C11" s="35" t="inlineStr">
        <is>
          <t>ลักษณะชิ้นงาน / ตำแหน่ง
Description</t>
        </is>
      </c>
      <c r="D11" s="35" t="inlineStr">
        <is>
          <t>จำนวน
Qty (pcs)</t>
        </is>
      </c>
      <c r="E11" s="35" t="inlineStr">
        <is>
          <t>กว้างคลี่ (W)
Width (mm)</t>
        </is>
      </c>
      <c r="F11" s="35" t="inlineStr">
        <is>
          <t>ยาวคลี่ (L)
Length (mm)</t>
        </is>
      </c>
      <c r="G11" s="35" t="inlineStr">
        <is>
          <t>พื้นที่รวม
Total Area (m²)</t>
        </is>
      </c>
      <c r="H11" s="35" t="inlineStr">
        <is>
          <t>สัดส่วนต่อแผ่น
% of Sheet</t>
        </is>
      </c>
      <c r="I11" s="35" t="inlineStr">
        <is>
          <t>หมายเหตุการตัด / พับ / ติดตั้ง
Remarks &amp; Notes</t>
        </is>
      </c>
    </row>
    <row r="12" ht="21" customHeight="1" s="49">
      <c r="A12" s="25" t="n">
        <v>1</v>
      </c>
      <c r="B12" s="26" t="inlineStr">
        <is>
          <t>Partition-Inner 3-st</t>
        </is>
      </c>
      <c r="C12" s="15" t="inlineStr">
        <is>
          <t>แผ่นกั้นภายในตู้ 3</t>
        </is>
      </c>
      <c r="D12" s="27" t="n">
        <v>1</v>
      </c>
      <c r="E12" s="16" t="n">
        <v>448</v>
      </c>
      <c r="F12" s="16" t="n">
        <v>2240</v>
      </c>
      <c r="G12" s="102">
        <f>IF(AND(ISNUMBER(E12),ISNUMBER(F12),E12&gt;0,F12&gt;0), D12*(E12*F12)/1000000, 0)</f>
        <v/>
      </c>
      <c r="H12" s="105">
        <f>IF($C$7&gt;0, G12/$C$7, 0)</f>
        <v/>
      </c>
      <c r="I12" s="17" t="inlineStr">
        <is>
          <t>แผ่นกั้นตรง / มีเจาะรูยึด</t>
        </is>
      </c>
    </row>
    <row r="13" ht="21" customHeight="1" s="49">
      <c r="A13" s="25" t="n">
        <v>2</v>
      </c>
      <c r="B13" s="26" t="inlineStr">
        <is>
          <t>Partition-Inner 1-st</t>
        </is>
      </c>
      <c r="C13" s="15" t="inlineStr">
        <is>
          <t>แผ่นกั้นภายในตู้ 1</t>
        </is>
      </c>
      <c r="D13" s="27" t="n">
        <v>1</v>
      </c>
      <c r="E13" s="16" t="n">
        <v>568</v>
      </c>
      <c r="F13" s="16" t="n">
        <v>2200</v>
      </c>
      <c r="G13" s="102">
        <f>IF(AND(ISNUMBER(E13),ISNUMBER(F13),E13&gt;0,F13&gt;0), D13*(E13*F13)/1000000, 0)</f>
        <v/>
      </c>
      <c r="H13" s="105">
        <f>IF($C$7&gt;0, G13/$C$7, 0)</f>
        <v/>
      </c>
      <c r="I13" s="17" t="inlineStr">
        <is>
          <t>แผ่นกั้นตรง</t>
        </is>
      </c>
    </row>
    <row r="14" ht="21" customHeight="1" s="49">
      <c r="A14" s="25" t="n">
        <v>3</v>
      </c>
      <c r="B14" s="26" t="inlineStr">
        <is>
          <t>Partition-Inner-Box-1-st</t>
        </is>
      </c>
      <c r="C14" s="15" t="inlineStr">
        <is>
          <t>กล่อง/โครงกั้นภายใน 1</t>
        </is>
      </c>
      <c r="D14" s="27" t="n">
        <v>1</v>
      </c>
      <c r="E14" s="16" t="n">
        <v>1210</v>
      </c>
      <c r="F14" s="16" t="n">
        <v>2010</v>
      </c>
      <c r="G14" s="102">
        <f>IF(AND(ISNUMBER(E14),ISNUMBER(F14),E14&gt;0,F14&gt;0), D14*(E14*F14)/1000000, 0)</f>
        <v/>
      </c>
      <c r="H14" s="105">
        <f>IF($C$7&gt;0, G14/$C$7, 0)</f>
        <v/>
      </c>
      <c r="I14" s="17" t="inlineStr">
        <is>
          <t>มีพับขึ้นรูปกล่อง (เช็ค Blank Size)</t>
        </is>
      </c>
    </row>
    <row r="15" ht="21" customHeight="1" s="49">
      <c r="A15" s="25" t="n">
        <v>4</v>
      </c>
      <c r="B15" s="26" t="inlineStr">
        <is>
          <t>Partition-Inner 2-st</t>
        </is>
      </c>
      <c r="C15" s="15" t="inlineStr">
        <is>
          <t>แผ่นกั้นภายในตู้ 2</t>
        </is>
      </c>
      <c r="D15" s="27" t="n">
        <v>1</v>
      </c>
      <c r="E15" s="16" t="n">
        <v>543</v>
      </c>
      <c r="F15" s="16" t="n">
        <v>2200</v>
      </c>
      <c r="G15" s="102">
        <f>IF(AND(ISNUMBER(E15),ISNUMBER(F15),E15&gt;0,F15&gt;0), D15*(E15*F15)/1000000, 0)</f>
        <v/>
      </c>
      <c r="H15" s="105">
        <f>IF($C$7&gt;0, G15/$C$7, 0)</f>
        <v/>
      </c>
      <c r="I15" s="17" t="inlineStr">
        <is>
          <t>แผ่นกั้นตรง</t>
        </is>
      </c>
    </row>
    <row r="16" ht="21" customHeight="1" s="49">
      <c r="A16" s="25" t="n">
        <v>5</v>
      </c>
      <c r="B16" s="26" t="inlineStr">
        <is>
          <t>Door Right-Inner 1-Bending-st</t>
        </is>
      </c>
      <c r="C16" s="15" t="inlineStr">
        <is>
          <t>ฝาในประตูขวา พับ 1 (ซับใน)</t>
        </is>
      </c>
      <c r="D16" s="27" t="n">
        <v>1</v>
      </c>
      <c r="E16" s="16" t="n">
        <v>870</v>
      </c>
      <c r="F16" s="16" t="n">
        <v>1750</v>
      </c>
      <c r="G16" s="102">
        <f>IF(AND(ISNUMBER(E16),ISNUMBER(F16),E16&gt;0,F16&gt;0), D16*(E16*F16)/1000000, 0)</f>
        <v/>
      </c>
      <c r="H16" s="105">
        <f>IF($C$7&gt;0, G16/$C$7, 0)</f>
        <v/>
      </c>
      <c r="I16" s="17" t="inlineStr">
        <is>
          <t>ชิ้นงานพับขอบ Bending</t>
        </is>
      </c>
    </row>
    <row r="17" ht="21" customHeight="1" s="49">
      <c r="A17" s="25" t="n">
        <v>6</v>
      </c>
      <c r="B17" s="26" t="inlineStr">
        <is>
          <t>Cover Back 2-Inner-Bending-st</t>
        </is>
      </c>
      <c r="C17" s="15" t="inlineStr">
        <is>
          <t>ฝาครอบหลังใน 2 พับ</t>
        </is>
      </c>
      <c r="D17" s="27" t="n">
        <v>1</v>
      </c>
      <c r="E17" s="16" t="n">
        <v>1160</v>
      </c>
      <c r="F17" s="16" t="n">
        <v>2235</v>
      </c>
      <c r="G17" s="102">
        <f>IF(AND(ISNUMBER(E17),ISNUMBER(F17),E17&gt;0,F17&gt;0), D17*(E17*F17)/1000000, 0)</f>
        <v/>
      </c>
      <c r="H17" s="105">
        <f>IF($C$7&gt;0, G17/$C$7, 0)</f>
        <v/>
      </c>
      <c r="I17" s="17" t="inlineStr">
        <is>
          <t>ชิ้นงานพับขอบ Bending</t>
        </is>
      </c>
    </row>
    <row r="18" ht="21" customHeight="1" s="49">
      <c r="A18" s="25" t="n">
        <v>7</v>
      </c>
      <c r="B18" s="26" t="inlineStr">
        <is>
          <t>Cover Back 1-Inner-Bending-st</t>
        </is>
      </c>
      <c r="C18" s="15" t="inlineStr">
        <is>
          <t>ฝาครอบหลังใน 1 พับ</t>
        </is>
      </c>
      <c r="D18" s="27" t="n">
        <v>1</v>
      </c>
      <c r="E18" s="16" t="n">
        <v>1160</v>
      </c>
      <c r="F18" s="16" t="n">
        <v>2235</v>
      </c>
      <c r="G18" s="102">
        <f>IF(AND(ISNUMBER(E18),ISNUMBER(F18),E18&gt;0,F18&gt;0), D18*(E18*F18)/1000000, 0)</f>
        <v/>
      </c>
      <c r="H18" s="105">
        <f>IF($C$7&gt;0, G18/$C$7, 0)</f>
        <v/>
      </c>
      <c r="I18" s="17" t="inlineStr">
        <is>
          <t>ชิ้นงานพับขอบ Bending</t>
        </is>
      </c>
    </row>
    <row r="19" ht="21" customHeight="1" s="49">
      <c r="A19" s="25" t="n">
        <v>8</v>
      </c>
      <c r="B19" s="26" t="inlineStr">
        <is>
          <t>Door left-inner-Bending-st</t>
        </is>
      </c>
      <c r="C19" s="15" t="inlineStr">
        <is>
          <t>ฝาในประตูซ้าย พับ (ซับใน)</t>
        </is>
      </c>
      <c r="D19" s="27" t="n">
        <v>1</v>
      </c>
      <c r="E19" s="16" t="n">
        <v>512</v>
      </c>
      <c r="F19" s="16" t="n">
        <v>1750</v>
      </c>
      <c r="G19" s="102">
        <f>IF(AND(ISNUMBER(E19),ISNUMBER(F19),E19&gt;0,F19&gt;0), D19*(E19*F19)/1000000, 0)</f>
        <v/>
      </c>
      <c r="H19" s="105">
        <f>IF($C$7&gt;0, G19/$C$7, 0)</f>
        <v/>
      </c>
      <c r="I19" s="17" t="inlineStr">
        <is>
          <t>ชิ้นงานพับขอบ Bending</t>
        </is>
      </c>
    </row>
    <row r="20" ht="21" customHeight="1" s="49">
      <c r="A20" s="25" t="n">
        <v>9</v>
      </c>
      <c r="B20" s="26" t="n"/>
      <c r="C20" s="15" t="n"/>
      <c r="D20" s="27" t="n">
        <v>0</v>
      </c>
      <c r="E20" s="16" t="n"/>
      <c r="F20" s="16" t="n"/>
      <c r="G20" s="102">
        <f>IF(AND(ISNUMBER(E20),ISNUMBER(F20),E20&gt;0,F20&gt;0), D20*(E20*F20)/1000000, 0)</f>
        <v/>
      </c>
      <c r="H20" s="105">
        <f>IF($C$7&gt;0, G20/$C$7, 0)</f>
        <v/>
      </c>
      <c r="I20" s="17" t="inlineStr">
        <is>
          <t>ชิ้นงานพับขอบ Bending</t>
        </is>
      </c>
    </row>
    <row r="21" ht="20.1" customHeight="1" s="49">
      <c r="A21" s="29" t="n">
        <v>10</v>
      </c>
      <c r="B21" s="17" t="inlineStr">
        <is>
          <t>สำรองชิ้นส่วนเพิ่มเติม 1 (Extra Part)</t>
        </is>
      </c>
      <c r="C21" s="17" t="inlineStr">
        <is>
          <t>-</t>
        </is>
      </c>
      <c r="D21" s="27" t="n">
        <v>0</v>
      </c>
      <c r="E21" s="16" t="n"/>
      <c r="F21" s="16" t="n"/>
      <c r="G21" s="102">
        <f>IF(AND(ISNUMBER(E21),ISNUMBER(F21),E21&gt;0,F21&gt;0), D21*(E21*F21)/1000000, 0)</f>
        <v/>
      </c>
      <c r="H21" s="105">
        <f>IF($C$7&gt;0, G21/$C$7, 0)</f>
        <v/>
      </c>
      <c r="I21" s="17" t="n"/>
    </row>
    <row r="22" ht="20.1" customHeight="1" s="49">
      <c r="A22" s="29" t="n">
        <v>11</v>
      </c>
      <c r="B22" s="17" t="inlineStr">
        <is>
          <t>สำรองชิ้นส่วนเพิ่มเติม 2 (Extra Part)</t>
        </is>
      </c>
      <c r="C22" s="17" t="inlineStr">
        <is>
          <t>-</t>
        </is>
      </c>
      <c r="D22" s="27" t="n">
        <v>0</v>
      </c>
      <c r="E22" s="16" t="n"/>
      <c r="F22" s="16" t="n"/>
      <c r="G22" s="102">
        <f>IF(AND(ISNUMBER(E22),ISNUMBER(F22),E22&gt;0,F22&gt;0), D22*(E22*F22)/1000000, 0)</f>
        <v/>
      </c>
      <c r="H22" s="105">
        <f>IF($C$7&gt;0, G22/$C$7, 0)</f>
        <v/>
      </c>
      <c r="I22" s="17" t="n"/>
    </row>
    <row r="23" ht="20.1" customHeight="1" s="49">
      <c r="A23" s="29" t="n">
        <v>12</v>
      </c>
      <c r="B23" s="17" t="inlineStr">
        <is>
          <t>สำรองชิ้นส่วนเพิ่มเติม 3 (Extra Part)</t>
        </is>
      </c>
      <c r="C23" s="17" t="inlineStr">
        <is>
          <t>-</t>
        </is>
      </c>
      <c r="D23" s="27" t="n">
        <v>0</v>
      </c>
      <c r="E23" s="16" t="n"/>
      <c r="F23" s="16" t="n"/>
      <c r="G23" s="102">
        <f>IF(AND(ISNUMBER(E23),ISNUMBER(F23),E23&gt;0,F23&gt;0), D23*(E23*F23)/1000000, 0)</f>
        <v/>
      </c>
      <c r="H23" s="105">
        <f>IF($C$7&gt;0, G23/$C$7, 0)</f>
        <v/>
      </c>
      <c r="I23" s="17" t="n"/>
    </row>
    <row r="24" ht="24" customHeight="1" s="49">
      <c r="A24" s="63" t="inlineStr">
        <is>
          <t>รวมทั้งหมด (Sub-Total)</t>
        </is>
      </c>
      <c r="B24" s="106" t="n"/>
      <c r="C24" s="107" t="n"/>
      <c r="D24" s="37">
        <f>SUM(D12:D23)</f>
        <v/>
      </c>
      <c r="E24" s="38" t="inlineStr">
        <is>
          <t>-</t>
        </is>
      </c>
      <c r="F24" s="38" t="inlineStr">
        <is>
          <t>-</t>
        </is>
      </c>
      <c r="G24" s="110">
        <f>SUM(G12:G23)</f>
        <v/>
      </c>
      <c r="H24" s="111">
        <f>SUM(H12:H23)</f>
        <v/>
      </c>
      <c r="I24" s="64" t="n"/>
    </row>
  </sheetData>
  <mergeCells count="7">
    <mergeCell ref="A1:J1"/>
    <mergeCell ref="I4:J5"/>
    <mergeCell ref="B4:D4"/>
    <mergeCell ref="F4:H4"/>
    <mergeCell ref="A2:J2"/>
    <mergeCell ref="I6:J8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F23" sqref="F23"/>
    </sheetView>
  </sheetViews>
  <sheetFormatPr baseColWidth="8" defaultRowHeight="15"/>
  <cols>
    <col width="7" customWidth="1" style="49" min="1" max="1"/>
    <col width="32" customWidth="1" style="49" min="2" max="2"/>
    <col width="28" customWidth="1" style="49" min="3" max="3"/>
    <col width="12" customWidth="1" style="49" min="4" max="4"/>
    <col width="15" customWidth="1" style="49" min="5" max="6"/>
    <col width="16" customWidth="1" style="49" min="7" max="7"/>
    <col width="15" customWidth="1" style="49" min="8" max="8"/>
    <col width="28" customWidth="1" style="49" min="9" max="9"/>
    <col width="14" customWidth="1" style="49" min="10" max="10"/>
  </cols>
  <sheetData>
    <row r="1" ht="26.1" customHeight="1" s="49">
      <c r="A1" s="56" t="inlineStr">
        <is>
          <t>ตารางคำนวณแผ่นอะคริลิก (Acrylic Sheet Requirement)</t>
        </is>
      </c>
    </row>
    <row r="2" ht="18" customHeight="1" s="49">
      <c r="A2" s="59" t="inlineStr">
        <is>
          <t>รายการชิ้นส่วนอะคริลิกจาก SOLIDWORKS: ฝาครอบด้านหน้าและฝาครอบด้านข้าง</t>
        </is>
      </c>
    </row>
    <row r="4" ht="16.5" customHeight="1" s="49">
      <c r="B4" s="58" t="inlineStr">
        <is>
          <t>⚙️ ข้อมูลแผ่นมาตรฐาน - อะคริลิก (Standard Sheet Config)</t>
        </is>
      </c>
      <c r="F4" s="58" t="inlineStr">
        <is>
          <t>📊 ผลลัพธ์การคำนวณ (Calculation Summary)</t>
        </is>
      </c>
      <c r="I4" s="65" t="inlineStr">
        <is>
          <t>จำนวนแผ่น อะคริลิก ที่ต้องใช้
(Recommended to Order)</t>
        </is>
      </c>
      <c r="J4" s="71" t="n"/>
    </row>
    <row r="5">
      <c r="B5" s="15" t="inlineStr">
        <is>
          <t>ความกว้างแผ่นมาตรฐาน (Sheet Width)</t>
        </is>
      </c>
      <c r="C5" s="16" t="n">
        <v>1220</v>
      </c>
      <c r="D5" s="17" t="inlineStr">
        <is>
          <t xml:space="preserve"> มม. (mm)</t>
        </is>
      </c>
      <c r="F5" s="18" t="inlineStr">
        <is>
          <t>จำนวนชิ้นงานทั้งหมด (Total Quantity)</t>
        </is>
      </c>
      <c r="G5" s="19">
        <f>SUM(D12:D17)</f>
        <v/>
      </c>
      <c r="H5" s="17" t="inlineStr">
        <is>
          <t>ชิ้น (pcs)</t>
        </is>
      </c>
      <c r="I5" s="72" t="n"/>
      <c r="J5" s="74" t="n"/>
    </row>
    <row r="6">
      <c r="B6" s="15" t="inlineStr">
        <is>
          <t>ความยาวแผ่นมาตรฐาน (Sheet Length)</t>
        </is>
      </c>
      <c r="C6" s="16" t="n">
        <v>2440</v>
      </c>
      <c r="D6" s="17" t="inlineStr">
        <is>
          <t xml:space="preserve"> มม. (mm)</t>
        </is>
      </c>
      <c r="F6" s="18" t="inlineStr">
        <is>
          <t>พื้นที่ชิ้นงานสุทธิ (Net Total Area)</t>
        </is>
      </c>
      <c r="G6" s="102">
        <f>SUM(G12:G17)</f>
        <v/>
      </c>
      <c r="H6" s="17" t="inlineStr">
        <is>
          <t>ตร.ม. (m²)</t>
        </is>
      </c>
      <c r="I6" s="52">
        <f>ROUNDUP(G8, 0)</f>
        <v/>
      </c>
      <c r="J6" s="71" t="n"/>
    </row>
    <row r="7">
      <c r="B7" s="15" t="inlineStr">
        <is>
          <t>พื้นที่ต่อ 1 แผ่นมาตรฐาน (Area/Sheet)</t>
        </is>
      </c>
      <c r="C7" s="103">
        <f>(C5*C6)/1000000</f>
        <v/>
      </c>
      <c r="D7" s="17" t="inlineStr">
        <is>
          <t xml:space="preserve"> ตร.ม. (m²)</t>
        </is>
      </c>
      <c r="F7" s="18" t="inlineStr">
        <is>
          <t>พื้นที่รวมเผื่อเศษตัด (Gross Area with Waste)</t>
        </is>
      </c>
      <c r="G7" s="102">
        <f>G6*(1+C8)</f>
        <v/>
      </c>
      <c r="H7" s="17" t="inlineStr">
        <is>
          <t>ตร.ม. (m²)</t>
        </is>
      </c>
      <c r="I7" s="75" t="n"/>
      <c r="J7" s="76" t="n"/>
    </row>
    <row r="8">
      <c r="B8" s="15" t="inlineStr">
        <is>
          <t>เผื่อเศษตัด/พับ/โครงสร้าง (Waste Factor)</t>
        </is>
      </c>
      <c r="C8" s="104" t="n">
        <v>0.15</v>
      </c>
      <c r="D8" s="17" t="inlineStr">
        <is>
          <t xml:space="preserve"> (15%)</t>
        </is>
      </c>
      <c r="F8" s="18" t="inlineStr">
        <is>
          <t>จำนวนแผ่นตามทฤษฎี (Theoretical Sheets)</t>
        </is>
      </c>
      <c r="G8" s="23">
        <f>G7/C7</f>
        <v/>
      </c>
      <c r="H8" s="17" t="inlineStr">
        <is>
          <t>แผ่น (sheets)</t>
        </is>
      </c>
      <c r="I8" s="72" t="n"/>
      <c r="J8" s="74" t="n"/>
    </row>
    <row r="11" ht="30" customHeight="1" s="49">
      <c r="A11" s="41" t="inlineStr">
        <is>
          <t>ลำดับ
No.</t>
        </is>
      </c>
      <c r="B11" s="41" t="inlineStr">
        <is>
          <t>รหัส / ชื่อชิ้นงาน (SOLIDWORKS)
Part Name</t>
        </is>
      </c>
      <c r="C11" s="41" t="inlineStr">
        <is>
          <t>ลักษณะชิ้นงาน / ตำแหน่ง
Description</t>
        </is>
      </c>
      <c r="D11" s="41" t="inlineStr">
        <is>
          <t>จำนวน
Qty (pcs)</t>
        </is>
      </c>
      <c r="E11" s="41" t="inlineStr">
        <is>
          <t>กว้างคลี่ (W)
Width (mm)</t>
        </is>
      </c>
      <c r="F11" s="41" t="inlineStr">
        <is>
          <t>ยาวคลี่ (L)
Length (mm)</t>
        </is>
      </c>
      <c r="G11" s="41" t="inlineStr">
        <is>
          <t>พื้นที่รวม
Total Area (m²)</t>
        </is>
      </c>
      <c r="H11" s="41" t="inlineStr">
        <is>
          <t>สัดส่วนต่อแผ่น
% of Sheet</t>
        </is>
      </c>
      <c r="I11" s="41" t="inlineStr">
        <is>
          <t>หมายเหตุการตัด / พับ / ติดตั้ง
Remarks &amp; Notes</t>
        </is>
      </c>
    </row>
    <row r="12" ht="21" customHeight="1" s="49">
      <c r="A12" s="25" t="n">
        <v>1</v>
      </c>
      <c r="B12" s="26" t="inlineStr">
        <is>
          <t>Arcylic Cover Front 2-st</t>
        </is>
      </c>
      <c r="C12" s="15" t="inlineStr">
        <is>
          <t>ฝาครอบหน้า 2 (แผ่นอะคริลิกใส/ป้ายไฟ)</t>
        </is>
      </c>
      <c r="D12" s="27" t="n">
        <v>1</v>
      </c>
      <c r="E12" s="16" t="n">
        <v>537</v>
      </c>
      <c r="F12" s="16" t="n">
        <v>1737</v>
      </c>
      <c r="G12" s="102">
        <f>IF(AND(ISNUMBER(E12),ISNUMBER(F12),E12&gt;0,F12&gt;0), D12*(E12*F12)/1000000, 0)</f>
        <v/>
      </c>
      <c r="H12" s="105">
        <f>IF($C$7&gt;0, G12/$C$7, 0)</f>
        <v/>
      </c>
      <c r="I12" s="17" t="inlineStr">
        <is>
          <t>ตัดเลเซอร์ Laser Cut / ขัดขอบ</t>
        </is>
      </c>
    </row>
    <row r="13" ht="21" customHeight="1" s="49">
      <c r="A13" s="25" t="n">
        <v>2</v>
      </c>
      <c r="B13" s="26" t="inlineStr">
        <is>
          <t>Arcylic Cover Front-st</t>
        </is>
      </c>
      <c r="C13" s="15" t="inlineStr">
        <is>
          <t>ฝาครอบหน้า (แผ่นอะคริลิกใส/ช่องมอง)</t>
        </is>
      </c>
      <c r="D13" s="27" t="n">
        <v>1</v>
      </c>
      <c r="E13" s="16" t="n">
        <v>1257</v>
      </c>
      <c r="F13" s="16" t="n">
        <v>1737</v>
      </c>
      <c r="G13" s="102">
        <f>IF(AND(ISNUMBER(E13),ISNUMBER(F13),E13&gt;0,F13&gt;0), D13*(E13*F13)/1000000, 0)</f>
        <v/>
      </c>
      <c r="H13" s="105">
        <f>IF($C$7&gt;0, G13/$C$7, 0)</f>
        <v/>
      </c>
      <c r="I13" s="17" t="inlineStr">
        <is>
          <t>ตัดเลเซอร์ Laser Cut / ขัดขอบ</t>
        </is>
      </c>
    </row>
    <row r="14" ht="21" customHeight="1" s="49">
      <c r="A14" s="25" t="n">
        <v>3</v>
      </c>
      <c r="B14" s="26" t="inlineStr">
        <is>
          <t>Arcylic Cover Right -side-st</t>
        </is>
      </c>
      <c r="C14" s="15" t="inlineStr">
        <is>
          <t>ฝาครอบข้างขวา (แผ่นอะคริลิกใส/แสดงผล)</t>
        </is>
      </c>
      <c r="D14" s="27" t="n">
        <v>1</v>
      </c>
      <c r="E14" s="16" t="n">
        <v>637</v>
      </c>
      <c r="F14" s="16" t="n">
        <v>1737</v>
      </c>
      <c r="G14" s="102">
        <f>IF(AND(ISNUMBER(E14),ISNUMBER(F14),E14&gt;0,F14&gt;0), D14*(E14*F14)/1000000, 0)</f>
        <v/>
      </c>
      <c r="H14" s="105">
        <f>IF($C$7&gt;0, G14/$C$7, 0)</f>
        <v/>
      </c>
      <c r="I14" s="17" t="inlineStr">
        <is>
          <t>ตัดเลเซอร์ Laser Cut / ขัดขอบ</t>
        </is>
      </c>
    </row>
    <row r="15" ht="20.1" customHeight="1" s="49">
      <c r="A15" s="29" t="n">
        <v>4</v>
      </c>
      <c r="B15" s="17" t="inlineStr">
        <is>
          <t>สำรองชิ้นส่วนเพิ่มเติม 1 (Extra Part)</t>
        </is>
      </c>
      <c r="C15" s="17" t="inlineStr">
        <is>
          <t>-</t>
        </is>
      </c>
      <c r="D15" s="27" t="n">
        <v>0</v>
      </c>
      <c r="E15" s="16" t="n"/>
      <c r="F15" s="16" t="n"/>
      <c r="G15" s="102">
        <f>IF(AND(ISNUMBER(E15),ISNUMBER(F15),E15&gt;0,F15&gt;0), D15*(E15*F15)/1000000, 0)</f>
        <v/>
      </c>
      <c r="H15" s="105">
        <f>IF($C$7&gt;0, G15/$C$7, 0)</f>
        <v/>
      </c>
      <c r="I15" s="17" t="n"/>
    </row>
    <row r="16" ht="20.1" customHeight="1" s="49">
      <c r="A16" s="29" t="n">
        <v>5</v>
      </c>
      <c r="B16" s="17" t="inlineStr">
        <is>
          <t>สำรองชิ้นส่วนเพิ่มเติม 2 (Extra Part)</t>
        </is>
      </c>
      <c r="C16" s="17" t="inlineStr">
        <is>
          <t>-</t>
        </is>
      </c>
      <c r="D16" s="27" t="n">
        <v>0</v>
      </c>
      <c r="E16" s="16" t="n"/>
      <c r="F16" s="16" t="n"/>
      <c r="G16" s="102">
        <f>IF(AND(ISNUMBER(E16),ISNUMBER(F16),E16&gt;0,F16&gt;0), D16*(E16*F16)/1000000, 0)</f>
        <v/>
      </c>
      <c r="H16" s="105">
        <f>IF($C$7&gt;0, G16/$C$7, 0)</f>
        <v/>
      </c>
      <c r="I16" s="17" t="n"/>
    </row>
    <row r="17" ht="20.1" customHeight="1" s="49">
      <c r="A17" s="29" t="n">
        <v>6</v>
      </c>
      <c r="B17" s="17" t="inlineStr">
        <is>
          <t>สำรองชิ้นส่วนเพิ่มเติม 3 (Extra Part)</t>
        </is>
      </c>
      <c r="C17" s="17" t="inlineStr">
        <is>
          <t>-</t>
        </is>
      </c>
      <c r="D17" s="27" t="n">
        <v>0</v>
      </c>
      <c r="E17" s="16" t="n"/>
      <c r="F17" s="16" t="n"/>
      <c r="G17" s="102">
        <f>IF(AND(ISNUMBER(E17),ISNUMBER(F17),E17&gt;0,F17&gt;0), D17*(E17*F17)/1000000, 0)</f>
        <v/>
      </c>
      <c r="H17" s="105">
        <f>IF($C$7&gt;0, G17/$C$7, 0)</f>
        <v/>
      </c>
      <c r="I17" s="17" t="n"/>
    </row>
    <row r="18" ht="24" customHeight="1" s="49">
      <c r="A18" s="66" t="inlineStr">
        <is>
          <t>รวมทั้งหมด (Sub-Total)</t>
        </is>
      </c>
      <c r="B18" s="106" t="n"/>
      <c r="C18" s="107" t="n"/>
      <c r="D18" s="43">
        <f>SUM(D12:D17)</f>
        <v/>
      </c>
      <c r="E18" s="44" t="inlineStr">
        <is>
          <t>-</t>
        </is>
      </c>
      <c r="F18" s="44" t="inlineStr">
        <is>
          <t>-</t>
        </is>
      </c>
      <c r="G18" s="112">
        <f>SUM(G12:G17)</f>
        <v/>
      </c>
      <c r="H18" s="113">
        <f>SUM(H12:H17)</f>
        <v/>
      </c>
      <c r="I18" s="67" t="n"/>
    </row>
  </sheetData>
  <mergeCells count="7">
    <mergeCell ref="A1:J1"/>
    <mergeCell ref="I4:J5"/>
    <mergeCell ref="B4:D4"/>
    <mergeCell ref="A18:C18"/>
    <mergeCell ref="F4:H4"/>
    <mergeCell ref="A2:J2"/>
    <mergeCell ref="I6:J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:F1"/>
    </sheetView>
  </sheetViews>
  <sheetFormatPr baseColWidth="8" defaultRowHeight="15"/>
  <cols>
    <col width="35" customWidth="1" style="49" min="1" max="1"/>
    <col width="16" customWidth="1" style="49" min="2" max="3"/>
    <col width="20" customWidth="1" style="49" min="4" max="4"/>
    <col width="18" customWidth="1" style="49" min="5" max="5"/>
    <col width="35" customWidth="1" style="49" min="6" max="6"/>
  </cols>
  <sheetData>
    <row r="1" ht="27.95" customHeight="1" s="49">
      <c r="A1" s="48" t="inlineStr">
        <is>
          <t>ข้อมูลอ้างอิงขนาดแผ่นอลูมิเนียมคอมโพสิตและแผ่นอะคริลิก</t>
        </is>
      </c>
    </row>
    <row r="3" ht="16.5" customHeight="1" s="49">
      <c r="A3" s="68" t="inlineStr">
        <is>
          <t>1. ขนาดแผ่นอลูมิเนียมคอมโพสิตมาตรฐาน (Aluminum Composite Standard Sizes)</t>
        </is>
      </c>
    </row>
    <row r="4" ht="24.95" customHeight="1" s="49">
      <c r="A4" s="1" t="inlineStr">
        <is>
          <t>ขนาดมาตรฐาน (Standard Size)</t>
        </is>
      </c>
      <c r="B4" s="1" t="inlineStr">
        <is>
          <t>กว้าง (W) มม.</t>
        </is>
      </c>
      <c r="C4" s="1" t="inlineStr">
        <is>
          <t>ยาว (L) มม.</t>
        </is>
      </c>
      <c r="D4" s="1" t="inlineStr">
        <is>
          <t>พื้นที่ (ตร.ม./แผ่น)</t>
        </is>
      </c>
      <c r="E4" s="1" t="inlineStr">
        <is>
          <t>ความหนารวมทั่วไป</t>
        </is>
      </c>
      <c r="F4" s="1" t="inlineStr">
        <is>
          <t>การใช้งานที่นิยม</t>
        </is>
      </c>
    </row>
    <row r="5">
      <c r="A5" s="26" t="inlineStr">
        <is>
          <t>4 x 8 ฟุต (มาตรฐานสากล - นิยมที่สุด)</t>
        </is>
      </c>
      <c r="B5" s="47" t="n">
        <v>1220</v>
      </c>
      <c r="C5" s="47" t="n">
        <v>2440</v>
      </c>
      <c r="D5" s="103">
        <f>B5*C5/1000000</f>
        <v/>
      </c>
      <c r="E5" s="15" t="inlineStr">
        <is>
          <t>3 มม. / 4 มม.</t>
        </is>
      </c>
      <c r="F5" s="15" t="inlineStr">
        <is>
          <t>โครงสร้างตู้, พาร์ทิชัน, ฝาครอบ</t>
        </is>
      </c>
    </row>
    <row r="6">
      <c r="A6" s="26" t="inlineStr">
        <is>
          <t>1.25 x 2.50 เมตร (ไซส์ยุโรป)</t>
        </is>
      </c>
      <c r="B6" s="47" t="n">
        <v>1250</v>
      </c>
      <c r="C6" s="47" t="n">
        <v>2500</v>
      </c>
      <c r="D6" s="103">
        <f>B6*C6/1000000</f>
        <v/>
      </c>
      <c r="E6" s="15" t="inlineStr">
        <is>
          <t>4 มม.</t>
        </is>
      </c>
      <c r="F6" s="15" t="inlineStr">
        <is>
          <t>งานอาคาร, ผนังตู้ขนาดใหญ่</t>
        </is>
      </c>
    </row>
    <row r="7">
      <c r="A7" s="26" t="inlineStr">
        <is>
          <t>4 x 10 ฟุต (แผ่นยาว)</t>
        </is>
      </c>
      <c r="B7" s="47" t="n">
        <v>1220</v>
      </c>
      <c r="C7" s="47" t="n">
        <v>3050</v>
      </c>
      <c r="D7" s="103">
        <f>B7*C7/1000000</f>
        <v/>
      </c>
      <c r="E7" s="15" t="inlineStr">
        <is>
          <t>4 มม.</t>
        </is>
      </c>
      <c r="F7" s="15" t="inlineStr">
        <is>
          <t>ฝาหลังตู้สูง, ชิ้นส่วนยาวต่อเนื่อง</t>
        </is>
      </c>
    </row>
    <row r="8">
      <c r="A8" s="26" t="inlineStr">
        <is>
          <t>5 x 10 ฟุต (แผ่นหน้ากว้าง)</t>
        </is>
      </c>
      <c r="B8" s="47" t="n">
        <v>1500</v>
      </c>
      <c r="C8" s="47" t="n">
        <v>3000</v>
      </c>
      <c r="D8" s="103">
        <f>B8*C8/1000000</f>
        <v/>
      </c>
      <c r="E8" s="15" t="inlineStr">
        <is>
          <t>4 มม.</t>
        </is>
      </c>
      <c r="F8" s="15" t="inlineStr">
        <is>
          <t>ชิ้นงานขนาดใหญ่ลดรอยต่อ</t>
        </is>
      </c>
    </row>
    <row r="10" ht="16.5" customHeight="1" s="49">
      <c r="A10" s="68" t="inlineStr">
        <is>
          <t>2. ขนาดแผ่นอะคริลิกมาตรฐาน (Acrylic Sheet Standard Sizes)</t>
        </is>
      </c>
    </row>
    <row r="11" ht="24.95" customHeight="1" s="49">
      <c r="A11" s="41" t="inlineStr">
        <is>
          <t>ขนาดแผ่นอะคริลิก</t>
        </is>
      </c>
      <c r="B11" s="41" t="inlineStr">
        <is>
          <t>กว้าง (W) มม.</t>
        </is>
      </c>
      <c r="C11" s="41" t="inlineStr">
        <is>
          <t>ยาว (L) มม.</t>
        </is>
      </c>
      <c r="D11" s="41" t="inlineStr">
        <is>
          <t>พื้นที่ (ตร.ม./แผ่น)</t>
        </is>
      </c>
      <c r="E11" s="41" t="inlineStr">
        <is>
          <t>ความหนาทั่วไป</t>
        </is>
      </c>
      <c r="F11" s="41" t="inlineStr">
        <is>
          <t>คุณสมบัติ/การใช้งาน</t>
        </is>
      </c>
    </row>
    <row r="12">
      <c r="A12" s="26" t="inlineStr">
        <is>
          <t>4 x 8 ฟุต (ขนาดเต็มแผ่นมาตรฐาน)</t>
        </is>
      </c>
      <c r="B12" s="47" t="n">
        <v>1220</v>
      </c>
      <c r="C12" s="47" t="n">
        <v>2440</v>
      </c>
      <c r="D12" s="103">
        <f>B12*C12/1000000</f>
        <v/>
      </c>
      <c r="E12" s="15" t="inlineStr">
        <is>
          <t>2, 3, 5, 8 มม.</t>
        </is>
      </c>
      <c r="F12" s="15" t="inlineStr">
        <is>
          <t>งานตู้โชว์, บานหน้าต่าง, ฝาครอบใส</t>
        </is>
      </c>
    </row>
    <row r="13">
      <c r="A13" s="26" t="inlineStr">
        <is>
          <t>4 x 6 ฟุต (ขนาดตัดแบ่ง)</t>
        </is>
      </c>
      <c r="B13" s="47" t="n">
        <v>1220</v>
      </c>
      <c r="C13" s="47" t="n">
        <v>1830</v>
      </c>
      <c r="D13" s="103">
        <f>B13*C13/1000000</f>
        <v/>
      </c>
      <c r="E13" s="15" t="inlineStr">
        <is>
          <t>2, 3, 5 มม.</t>
        </is>
      </c>
      <c r="F13" s="15" t="inlineStr">
        <is>
          <t>ป้ายหน้าร้าน, ฝาครอบเครื่อง</t>
        </is>
      </c>
    </row>
    <row r="14">
      <c r="A14" s="26" t="inlineStr">
        <is>
          <t>3 x 6 ฟุต (ขนาดยอดนิยม)</t>
        </is>
      </c>
      <c r="B14" s="47" t="n">
        <v>915</v>
      </c>
      <c r="C14" s="47" t="n">
        <v>1830</v>
      </c>
      <c r="D14" s="103">
        <f>B14*C14/1000000</f>
        <v/>
      </c>
      <c r="E14" s="15" t="inlineStr">
        <is>
          <t>2, 3, 5 มม.</t>
        </is>
      </c>
      <c r="F14" s="15" t="inlineStr">
        <is>
          <t>ชิ้นงานขนาดกลาง ประหยัดเศษ</t>
        </is>
      </c>
    </row>
    <row r="15">
      <c r="A15" s="26" t="inlineStr">
        <is>
          <t>2 x 4 ฟุต (แผ่นเล็ก)</t>
        </is>
      </c>
      <c r="B15" s="47" t="n">
        <v>610</v>
      </c>
      <c r="C15" s="47" t="n">
        <v>1220</v>
      </c>
      <c r="D15" s="103">
        <f>B15*C15/1000000</f>
        <v/>
      </c>
      <c r="E15" s="15" t="inlineStr">
        <is>
          <t>2, 3, 5 มม.</t>
        </is>
      </c>
      <c r="F15" s="15" t="inlineStr">
        <is>
          <t>ชิ้นงานขนาดเล็ก, ป้ายไฟ</t>
        </is>
      </c>
    </row>
    <row r="17" ht="16.5" customHeight="1" s="49">
      <c r="A17" s="68" t="inlineStr">
        <is>
          <t>📐 เทคนิคและข้อแนะนำการตัดและการพับ (Fabrication Notes)</t>
        </is>
      </c>
    </row>
    <row r="18">
      <c r="A18" s="69" t="inlineStr">
        <is>
          <t>1. แผ่นคอมโพสิต: ใช้ใบมีดเซาะร่อง V-Groove 90° หรือ 135° ด้านหลัง โดยเหลือชั้นพลาสติกและผิวหน้าไว้ประมาณ 0.5 - 0.8 มม. ก่อนพับขึ้นรูป</t>
        </is>
      </c>
    </row>
    <row r="19">
      <c r="A19" s="69" t="inlineStr">
        <is>
          <t>2. แผ่นอะคริลิก (Arcylic): แนะนำให้ตัดด้วยเครื่อง Laser Cutting เพื่อให้ขอบเรียบเงาใส ไม่ต้องขัดแต่งเพิ่มเติม</t>
        </is>
      </c>
    </row>
    <row r="20">
      <c r="A20" s="69" t="inlineStr">
        <is>
          <t>3. ระยะเผื่อคลี่ชิ้นงานพับ (Blank Size): สามารถใช้สูตร กว้างรวมปีกพับ (W + 2F) ในการคำนวณเบื้องต้น เพื่อความปลอดภัยของเศษตัด</t>
        </is>
      </c>
    </row>
    <row r="21">
      <c r="A21" s="69" t="inlineStr">
        <is>
          <t>4. ค่าเผื่อเศษตัด (Waste Factor): สำหรับอะคริลิกแผ่นใส แนะนำตั้งเผื่อไว้ 15% - 20% เนื่องจากต้องเผื่อระยะแนวทางเดินลำแสงเลเซอร์และการเว้นขอบฟิล์มกันรอย</t>
        </is>
      </c>
    </row>
  </sheetData>
  <mergeCells count="8">
    <mergeCell ref="A10:F10"/>
    <mergeCell ref="A19:F19"/>
    <mergeCell ref="A1:F1"/>
    <mergeCell ref="A17:F17"/>
    <mergeCell ref="A18:F18"/>
    <mergeCell ref="A3:F3"/>
    <mergeCell ref="A21:F2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2026-09-28T08:02:33Z</dcterms:created>
  <dcterms:modified xmlns:dcterms="http://purl.org/dc/terms/" xmlns:xsi="http://www.w3.org/2001/XMLSchema-instance" xsi:type="dcterms:W3CDTF">2026-09-28T09:01:04Z</dcterms:modified>
  <cp:lastModifiedBy>naruebest komol</cp:lastModifiedBy>
</cp:coreProperties>
</file>